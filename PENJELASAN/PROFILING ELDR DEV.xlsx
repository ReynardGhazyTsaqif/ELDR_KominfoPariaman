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0.0"/>
      <color rgb="FF000000"/>
      <name val="Arial"/>
      <scheme val="minor"/>
    </font>
    <font>
      <sz val="14.0"/>
      <color theme="1"/>
      <name val="Arial"/>
      <scheme val="minor"/>
    </font>
    <font>
      <b/>
      <sz val="12.0"/>
      <color rgb="FFF6B26B"/>
      <name val="Bookman Old Style"/>
    </font>
    <font>
      <b/>
      <sz val="24.0"/>
      <color theme="1"/>
      <name val="Bookman Old Style"/>
    </font>
    <font>
      <b/>
      <sz val="14.0"/>
      <color rgb="FF000000"/>
      <name val="Bookman Old Style"/>
    </font>
    <font>
      <color theme="1"/>
      <name val="Arial"/>
      <scheme val="minor"/>
    </font>
    <font>
      <sz val="12.0"/>
      <color theme="1"/>
      <name val="Bookman Old Style"/>
    </font>
    <font/>
    <font>
      <sz val="12.0"/>
      <color rgb="FF000000"/>
      <name val="Bookman Old Style"/>
    </font>
    <font>
      <b/>
      <sz val="12.0"/>
      <color rgb="FF000000"/>
      <name val="Bookman Old Style"/>
    </font>
    <font>
      <b/>
      <sz val="12.0"/>
      <color theme="1"/>
      <name val="Bookman Old Style"/>
    </font>
  </fonts>
  <fills count="7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5" numFmtId="0" xfId="0" applyFont="1"/>
    <xf borderId="1" fillId="2" fontId="6" numFmtId="0" xfId="0" applyAlignment="1" applyBorder="1" applyFill="1" applyFont="1">
      <alignment shrinkToFit="0" vertical="center" wrapText="1"/>
    </xf>
    <xf borderId="2" fillId="0" fontId="7" numFmtId="0" xfId="0" applyBorder="1" applyFont="1"/>
    <xf borderId="3" fillId="0" fontId="7" numFmtId="0" xfId="0" applyBorder="1" applyFont="1"/>
    <xf borderId="0" fillId="0" fontId="8" numFmtId="0" xfId="0" applyFont="1"/>
    <xf borderId="1" fillId="3" fontId="9" numFmtId="0" xfId="0" applyAlignment="1" applyBorder="1" applyFill="1" applyFont="1">
      <alignment horizontal="center"/>
    </xf>
    <xf borderId="1" fillId="4" fontId="10" numFmtId="0" xfId="0" applyAlignment="1" applyBorder="1" applyFill="1" applyFont="1">
      <alignment horizontal="center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textRotation="45"/>
    </xf>
    <xf borderId="6" fillId="0" fontId="8" numFmtId="0" xfId="0" applyAlignment="1" applyBorder="1" applyFont="1">
      <alignment horizontal="center" textRotation="45"/>
    </xf>
    <xf borderId="6" fillId="0" fontId="10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0" fillId="0" fontId="8" numFmtId="0" xfId="0" applyAlignment="1" applyFont="1">
      <alignment vertical="center"/>
    </xf>
    <xf borderId="6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vertical="center"/>
    </xf>
    <xf borderId="6" fillId="0" fontId="6" numFmtId="0" xfId="0" applyAlignment="1" applyBorder="1" applyFont="1">
      <alignment readingOrder="0" shrinkToFit="0" vertical="center" wrapText="1"/>
    </xf>
    <xf borderId="6" fillId="0" fontId="6" numFmtId="0" xfId="0" applyAlignment="1" applyBorder="1" applyFont="1">
      <alignment shrinkToFit="0" vertical="center" wrapText="1"/>
    </xf>
    <xf borderId="4" fillId="6" fontId="9" numFmtId="0" xfId="0" applyAlignment="1" applyBorder="1" applyFill="1" applyFont="1">
      <alignment horizontal="center" textRotation="90" vertical="center"/>
    </xf>
    <xf borderId="7" fillId="0" fontId="7" numFmtId="0" xfId="0" applyBorder="1" applyFont="1"/>
    <xf borderId="1" fillId="0" fontId="8" numFmtId="0" xfId="0" applyAlignment="1" applyBorder="1" applyFont="1">
      <alignment vertical="center"/>
    </xf>
    <xf borderId="6" fillId="0" fontId="6" numFmtId="164" xfId="0" applyAlignment="1" applyBorder="1" applyFont="1" applyNumberFormat="1">
      <alignment shrinkToFit="0" vertical="center" wrapText="1"/>
    </xf>
    <xf borderId="1" fillId="6" fontId="6" numFmtId="0" xfId="0" applyAlignment="1" applyBorder="1" applyFont="1">
      <alignment shrinkToFit="0" vertical="center" wrapText="1"/>
    </xf>
    <xf borderId="1" fillId="6" fontId="6" numFmtId="0" xfId="0" applyAlignment="1" applyBorder="1" applyFont="1">
      <alignment vertical="center"/>
    </xf>
    <xf borderId="6" fillId="0" fontId="6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34.0"/>
    <col customWidth="1" min="3" max="3" width="28.13"/>
    <col customWidth="1" min="4" max="4" width="26.75"/>
    <col customWidth="1" min="5" max="5" width="30.88"/>
    <col customWidth="1" min="6" max="6" width="27.88"/>
    <col customWidth="1" min="7" max="7" width="40.38"/>
    <col customWidth="1" min="8" max="8" width="38.75"/>
    <col customWidth="1" min="11" max="11" width="5.0"/>
    <col customWidth="1" min="12" max="12" width="28.38"/>
    <col customWidth="1" min="13" max="13" width="6.38"/>
    <col customWidth="1" min="14" max="14" width="7.5"/>
    <col customWidth="1" min="15" max="15" width="8.25"/>
    <col customWidth="1" min="16" max="16" width="8.38"/>
    <col customWidth="1" min="17" max="17" width="8.5"/>
    <col customWidth="1" min="18" max="20" width="8.13"/>
    <col customWidth="1" min="21" max="21" width="8.0"/>
    <col customWidth="1" min="22" max="22" width="8.75"/>
    <col customWidth="1" min="23" max="23" width="8.38"/>
    <col customWidth="1" min="24" max="24" width="8.5"/>
    <col customWidth="1" min="25" max="25" width="5.88"/>
    <col customWidth="1" min="26" max="26" width="6.25"/>
  </cols>
  <sheetData>
    <row r="1">
      <c r="A1" s="1" t="str">
        <f>IFERROR(__xludf.DUMMYFUNCTION("IMPORTRANGE(""https://docs.google.com/spreadsheets/d/12qqdLTKUbJUuxtFbWFES8f3-o-Bq7DtHLSmg_OtK5g0/edit"", ""ELDR DEV!A1:Z500"")"),"")</f>
        <v/>
      </c>
      <c r="B1" s="2" t="str">
        <f>IFERROR(__xludf.DUMMYFUNCTION("""COMPUTED_VALUE"""),"NOTE: 
JANGAN DIEDIT (LANGSUNG ERROR)")</f>
        <v>NOTE: 
JANGAN DIEDIT (LANGSUNG ERROR)</v>
      </c>
      <c r="C1" s="3" t="str">
        <f>IFERROR(__xludf.DUMMYFUNCTION("""COMPUTED_VALUE"""),"MAPPING TABEL")</f>
        <v>MAPPING TABEL</v>
      </c>
      <c r="H1" s="1"/>
      <c r="I1" s="1"/>
      <c r="J1" s="1"/>
      <c r="K1" s="4" t="str">
        <f>IFERROR(__xludf.DUMMYFUNCTION("""COMPUTED_VALUE"""),"DIMENSI BERSAMA
(Conformed Dimensions)")</f>
        <v>DIMENSI BERSAMA
(Conformed Dimensions)</v>
      </c>
    </row>
    <row r="2">
      <c r="A2" s="5"/>
      <c r="B2" s="6" t="str">
        <f>IFERROR(__xludf.DUMMYFUNCTION("""COMPUTED_VALUE"""),"d_subjek")</f>
        <v>d_subjek</v>
      </c>
      <c r="C2" s="7"/>
      <c r="D2" s="7"/>
      <c r="E2" s="7"/>
      <c r="F2" s="7"/>
      <c r="G2" s="7"/>
      <c r="H2" s="8"/>
      <c r="I2" s="5"/>
      <c r="J2" s="5"/>
      <c r="K2" s="9"/>
      <c r="L2" s="9"/>
      <c r="M2" s="9"/>
      <c r="N2" s="9"/>
      <c r="O2" s="9"/>
      <c r="P2" s="10" t="str">
        <f>IFERROR(__xludf.DUMMYFUNCTION("""COMPUTED_VALUE"""),"TABEL DIMENSI (Dimension Table)")</f>
        <v>TABEL DIMENSI (Dimension Table)</v>
      </c>
      <c r="Q2" s="7"/>
      <c r="R2" s="7"/>
      <c r="S2" s="7"/>
      <c r="T2" s="7"/>
      <c r="U2" s="7"/>
      <c r="V2" s="7"/>
      <c r="W2" s="7"/>
      <c r="X2" s="7"/>
      <c r="Y2" s="7"/>
      <c r="Z2" s="8"/>
    </row>
    <row r="3">
      <c r="A3" s="5"/>
      <c r="B3" s="11" t="str">
        <f>IFERROR(__xludf.DUMMYFUNCTION("""COMPUTED_VALUE"""),"SUMBER DATA")</f>
        <v>SUMBER DATA</v>
      </c>
      <c r="C3" s="8"/>
      <c r="D3" s="12" t="str">
        <f>IFERROR(__xludf.DUMMYFUNCTION("""COMPUTED_VALUE"""),"TARGET DATA")</f>
        <v>TARGET DATA</v>
      </c>
      <c r="E3" s="7"/>
      <c r="F3" s="8"/>
      <c r="G3" s="13" t="str">
        <f>IFERROR(__xludf.DUMMYFUNCTION("""COMPUTED_VALUE"""),"SAMPEL DATA")</f>
        <v>SAMPEL DATA</v>
      </c>
      <c r="H3" s="13" t="str">
        <f>IFERROR(__xludf.DUMMYFUNCTION("""COMPUTED_VALUE"""),"KETERANGAN")</f>
        <v>KETERANGAN</v>
      </c>
      <c r="I3" s="5"/>
      <c r="J3" s="5"/>
      <c r="K3" s="9"/>
      <c r="L3" s="9"/>
      <c r="M3" s="9"/>
      <c r="N3" s="14" t="str">
        <f>IFERROR(__xludf.DUMMYFUNCTION("""COMPUTED_VALUE"""),"D_PEGAWAI")</f>
        <v>D_PEGAWAI</v>
      </c>
      <c r="O3" s="14" t="str">
        <f>IFERROR(__xludf.DUMMYFUNCTION("""COMPUTED_VALUE"""),"D_UNIT_KERJA")</f>
        <v>D_UNIT_KERJA</v>
      </c>
      <c r="P3" s="15" t="str">
        <f>IFERROR(__xludf.DUMMYFUNCTION("""COMPUTED_VALUE"""),"D_MASYARAKAT")</f>
        <v>D_MASYARAKAT</v>
      </c>
      <c r="Q3" s="15" t="str">
        <f>IFERROR(__xludf.DUMMYFUNCTION("""COMPUTED_VALUE"""),"D_DESA")</f>
        <v>D_DESA</v>
      </c>
      <c r="R3" s="15" t="str">
        <f>IFERROR(__xludf.DUMMYFUNCTION("""COMPUTED_VALUE"""),"D_SUBJEK")</f>
        <v>D_SUBJEK</v>
      </c>
      <c r="S3" s="15" t="str">
        <f>IFERROR(__xludf.DUMMYFUNCTION("""COMPUTED_VALUE"""),"D_JENIS_DOKUMEN")</f>
        <v>D_JENIS_DOKUMEN</v>
      </c>
      <c r="T3" s="15" t="str">
        <f>IFERROR(__xludf.DUMMYFUNCTION("""COMPUTED_VALUE"""),"D_DATE")</f>
        <v>D_DATE</v>
      </c>
      <c r="U3" s="15" t="str">
        <f>IFERROR(__xludf.DUMMYFUNCTION("""COMPUTED_VALUE"""),"D_DOKUMEN")</f>
        <v>D_DOKUMEN</v>
      </c>
      <c r="V3" s="15" t="str">
        <f>IFERROR(__xludf.DUMMYFUNCTION("""COMPUTED_VALUE"""),"D_PERIHAL_DOKUMEN")</f>
        <v>D_PERIHAL_DOKUMEN</v>
      </c>
      <c r="W3" s="15" t="str">
        <f>IFERROR(__xludf.DUMMYFUNCTION("""COMPUTED_VALUE"""),"D_STATUS_DOKUMEN")</f>
        <v>D_STATUS_DOKUMEN</v>
      </c>
      <c r="X3" s="15" t="str">
        <f>IFERROR(__xludf.DUMMYFUNCTION("""COMPUTED_VALUE"""),"D_STATUS_PENGAJUAN")</f>
        <v>D_STATUS_PENGAJUAN</v>
      </c>
      <c r="Y3" s="15" t="str">
        <f>IFERROR(__xludf.DUMMYFUNCTION("""COMPUTED_VALUE"""),"TOTAL")</f>
        <v>TOTAL</v>
      </c>
      <c r="Z3" s="9"/>
    </row>
    <row r="4">
      <c r="A4" s="5"/>
      <c r="B4" s="16" t="str">
        <f>IFERROR(__xludf.DUMMYFUNCTION("""COMPUTED_VALUE"""),"NAMA TABEL")</f>
        <v>NAMA TABEL</v>
      </c>
      <c r="C4" s="16" t="str">
        <f>IFERROR(__xludf.DUMMYFUNCTION("""COMPUTED_VALUE"""),"NAMA KOLOM")</f>
        <v>NAMA KOLOM</v>
      </c>
      <c r="D4" s="16" t="str">
        <f>IFERROR(__xludf.DUMMYFUNCTION("""COMPUTED_VALUE"""),"NAMA TABEL")</f>
        <v>NAMA TABEL</v>
      </c>
      <c r="E4" s="16" t="str">
        <f>IFERROR(__xludf.DUMMYFUNCTION("""COMPUTED_VALUE"""),"NAMA KOLOM")</f>
        <v>NAMA KOLOM</v>
      </c>
      <c r="F4" s="16" t="str">
        <f>IFERROR(__xludf.DUMMYFUNCTION("""COMPUTED_VALUE"""),"TIPE DATA")</f>
        <v>TIPE DATA</v>
      </c>
      <c r="G4" s="17"/>
      <c r="H4" s="17"/>
      <c r="I4" s="5"/>
      <c r="J4" s="5"/>
      <c r="K4" s="18"/>
      <c r="L4" s="18"/>
      <c r="M4" s="18"/>
      <c r="N4" s="19">
        <f>IFERROR(__xludf.DUMMYFUNCTION("""COMPUTED_VALUE"""),1.0)</f>
        <v>1</v>
      </c>
      <c r="O4" s="19">
        <f>IFERROR(__xludf.DUMMYFUNCTION("""COMPUTED_VALUE"""),2.0)</f>
        <v>2</v>
      </c>
      <c r="P4" s="19">
        <f>IFERROR(__xludf.DUMMYFUNCTION("""COMPUTED_VALUE"""),3.0)</f>
        <v>3</v>
      </c>
      <c r="Q4" s="19">
        <f>IFERROR(__xludf.DUMMYFUNCTION("""COMPUTED_VALUE"""),4.0)</f>
        <v>4</v>
      </c>
      <c r="R4" s="19">
        <f>IFERROR(__xludf.DUMMYFUNCTION("""COMPUTED_VALUE"""),5.0)</f>
        <v>5</v>
      </c>
      <c r="S4" s="19">
        <f>IFERROR(__xludf.DUMMYFUNCTION("""COMPUTED_VALUE"""),6.0)</f>
        <v>6</v>
      </c>
      <c r="T4" s="19">
        <f>IFERROR(__xludf.DUMMYFUNCTION("""COMPUTED_VALUE"""),7.0)</f>
        <v>7</v>
      </c>
      <c r="U4" s="19">
        <f>IFERROR(__xludf.DUMMYFUNCTION("""COMPUTED_VALUE"""),8.0)</f>
        <v>8</v>
      </c>
      <c r="V4" s="19">
        <f>IFERROR(__xludf.DUMMYFUNCTION("""COMPUTED_VALUE"""),9.0)</f>
        <v>9</v>
      </c>
      <c r="W4" s="19">
        <f>IFERROR(__xludf.DUMMYFUNCTION("""COMPUTED_VALUE"""),10.0)</f>
        <v>10</v>
      </c>
      <c r="X4" s="19">
        <f>IFERROR(__xludf.DUMMYFUNCTION("""COMPUTED_VALUE"""),11.0)</f>
        <v>11</v>
      </c>
      <c r="Y4" s="20"/>
      <c r="Z4" s="9"/>
    </row>
    <row r="5">
      <c r="A5" s="5"/>
      <c r="B5" s="21"/>
      <c r="C5" s="22"/>
      <c r="D5" s="22" t="str">
        <f>IFERROR(__xludf.DUMMYFUNCTION("""COMPUTED_VALUE"""),"d_subjek")</f>
        <v>d_subjek</v>
      </c>
      <c r="E5" s="22" t="str">
        <f>IFERROR(__xludf.DUMMYFUNCTION("""COMPUTED_VALUE"""),"subjek_key")</f>
        <v>subjek_key</v>
      </c>
      <c r="F5" s="22" t="str">
        <f>IFERROR(__xludf.DUMMYFUNCTION("""COMPUTED_VALUE"""),"integer")</f>
        <v>integer</v>
      </c>
      <c r="G5" s="22"/>
      <c r="H5" s="22"/>
      <c r="I5" s="5"/>
      <c r="J5" s="5"/>
      <c r="K5" s="23" t="str">
        <f>IFERROR(__xludf.DUMMYFUNCTION("""COMPUTED_VALUE"""),"TABEL FAKTA 
(Fact Table)")</f>
        <v>TABEL FAKTA 
(Fact Table)</v>
      </c>
      <c r="L5" s="20" t="str">
        <f>IFERROR(__xludf.DUMMYFUNCTION("""COMPUTED_VALUE"""),"FT_PEGAWAI")</f>
        <v>FT_PEGAWAI</v>
      </c>
      <c r="M5" s="19">
        <f>IFERROR(__xludf.DUMMYFUNCTION("""COMPUTED_VALUE"""),1.0)</f>
        <v>1</v>
      </c>
      <c r="N5" s="20" t="b">
        <f>IFERROR(__xludf.DUMMYFUNCTION("""COMPUTED_VALUE"""),TRUE)</f>
        <v>1</v>
      </c>
      <c r="O5" s="20" t="b">
        <f>IFERROR(__xludf.DUMMYFUNCTION("""COMPUTED_VALUE"""),TRUE)</f>
        <v>1</v>
      </c>
      <c r="P5" s="20" t="b">
        <f>IFERROR(__xludf.DUMMYFUNCTION("""COMPUTED_VALUE"""),FALSE)</f>
        <v>0</v>
      </c>
      <c r="Q5" s="20" t="b">
        <f>IFERROR(__xludf.DUMMYFUNCTION("""COMPUTED_VALUE"""),FALSE)</f>
        <v>0</v>
      </c>
      <c r="R5" s="20" t="b">
        <f>IFERROR(__xludf.DUMMYFUNCTION("""COMPUTED_VALUE"""),FALSE)</f>
        <v>0</v>
      </c>
      <c r="S5" s="20" t="b">
        <f>IFERROR(__xludf.DUMMYFUNCTION("""COMPUTED_VALUE"""),FALSE)</f>
        <v>0</v>
      </c>
      <c r="T5" s="20" t="b">
        <f>IFERROR(__xludf.DUMMYFUNCTION("""COMPUTED_VALUE"""),FALSE)</f>
        <v>0</v>
      </c>
      <c r="U5" s="20" t="b">
        <f>IFERROR(__xludf.DUMMYFUNCTION("""COMPUTED_VALUE"""),FALSE)</f>
        <v>0</v>
      </c>
      <c r="V5" s="20" t="b">
        <f>IFERROR(__xludf.DUMMYFUNCTION("""COMPUTED_VALUE"""),FALSE)</f>
        <v>0</v>
      </c>
      <c r="W5" s="20" t="b">
        <f>IFERROR(__xludf.DUMMYFUNCTION("""COMPUTED_VALUE"""),FALSE)</f>
        <v>0</v>
      </c>
      <c r="X5" s="20" t="b">
        <f>IFERROR(__xludf.DUMMYFUNCTION("""COMPUTED_VALUE"""),FALSE)</f>
        <v>0</v>
      </c>
      <c r="Y5" s="20">
        <f>IFERROR(__xludf.DUMMYFUNCTION("""COMPUTED_VALUE"""),2.0)</f>
        <v>2</v>
      </c>
      <c r="Z5" s="9"/>
    </row>
    <row r="6">
      <c r="A6" s="5"/>
      <c r="B6" s="21" t="str">
        <f>IFERROR(__xludf.DUMMYFUNCTION("""COMPUTED_VALUE"""),"d_pegawai
d_masyarakat
ft_pegawai
ft_masyarakat")</f>
        <v>d_pegawai
d_masyarakat
ft_pegawai
ft_masyarakat</v>
      </c>
      <c r="C6" s="22" t="str">
        <f>IFERROR(__xludf.DUMMYFUNCTION("""COMPUTED_VALUE"""),"nip
nik
pegawai_key
masyarakat_key")</f>
        <v>nip
nik
pegawai_key
masyarakat_key</v>
      </c>
      <c r="D6" s="22" t="str">
        <f>IFERROR(__xludf.DUMMYFUNCTION("""COMPUTED_VALUE"""),"d_subjek")</f>
        <v>d_subjek</v>
      </c>
      <c r="E6" s="22" t="str">
        <f>IFERROR(__xludf.DUMMYFUNCTION("""COMPUTED_VALUE"""),"nomor_identitas")</f>
        <v>nomor_identitas</v>
      </c>
      <c r="F6" s="22" t="str">
        <f>IFERROR(__xludf.DUMMYFUNCTION("""COMPUTED_VALUE"""),"varchar (10)")</f>
        <v>varchar (10)</v>
      </c>
      <c r="G6" s="22" t="str">
        <f>IFERROR(__xludf.DUMMYFUNCTION("""COMPUTED_VALUE"""),"198501102010011001
1377012505920001")</f>
        <v>198501102010011001
1377012505920001</v>
      </c>
      <c r="H6" s="22"/>
      <c r="I6" s="5"/>
      <c r="J6" s="5"/>
      <c r="K6" s="24"/>
      <c r="L6" s="20" t="str">
        <f>IFERROR(__xludf.DUMMYFUNCTION("""COMPUTED_VALUE"""),"FT_MASYARAKAT")</f>
        <v>FT_MASYARAKAT</v>
      </c>
      <c r="M6" s="19">
        <f>IFERROR(__xludf.DUMMYFUNCTION("""COMPUTED_VALUE"""),2.0)</f>
        <v>2</v>
      </c>
      <c r="N6" s="20" t="b">
        <f>IFERROR(__xludf.DUMMYFUNCTION("""COMPUTED_VALUE"""),FALSE)</f>
        <v>0</v>
      </c>
      <c r="O6" s="20" t="b">
        <f>IFERROR(__xludf.DUMMYFUNCTION("""COMPUTED_VALUE"""),FALSE)</f>
        <v>0</v>
      </c>
      <c r="P6" s="20" t="b">
        <f>IFERROR(__xludf.DUMMYFUNCTION("""COMPUTED_VALUE"""),TRUE)</f>
        <v>1</v>
      </c>
      <c r="Q6" s="20" t="b">
        <f>IFERROR(__xludf.DUMMYFUNCTION("""COMPUTED_VALUE"""),TRUE)</f>
        <v>1</v>
      </c>
      <c r="R6" s="20" t="b">
        <f>IFERROR(__xludf.DUMMYFUNCTION("""COMPUTED_VALUE"""),FALSE)</f>
        <v>0</v>
      </c>
      <c r="S6" s="20" t="b">
        <f>IFERROR(__xludf.DUMMYFUNCTION("""COMPUTED_VALUE"""),FALSE)</f>
        <v>0</v>
      </c>
      <c r="T6" s="20" t="b">
        <f>IFERROR(__xludf.DUMMYFUNCTION("""COMPUTED_VALUE"""),FALSE)</f>
        <v>0</v>
      </c>
      <c r="U6" s="20" t="b">
        <f>IFERROR(__xludf.DUMMYFUNCTION("""COMPUTED_VALUE"""),FALSE)</f>
        <v>0</v>
      </c>
      <c r="V6" s="20" t="b">
        <f>IFERROR(__xludf.DUMMYFUNCTION("""COMPUTED_VALUE"""),FALSE)</f>
        <v>0</v>
      </c>
      <c r="W6" s="20" t="b">
        <f>IFERROR(__xludf.DUMMYFUNCTION("""COMPUTED_VALUE"""),FALSE)</f>
        <v>0</v>
      </c>
      <c r="X6" s="20" t="b">
        <f>IFERROR(__xludf.DUMMYFUNCTION("""COMPUTED_VALUE"""),FALSE)</f>
        <v>0</v>
      </c>
      <c r="Y6" s="20">
        <f>IFERROR(__xludf.DUMMYFUNCTION("""COMPUTED_VALUE"""),2.0)</f>
        <v>2</v>
      </c>
      <c r="Z6" s="9"/>
    </row>
    <row r="7">
      <c r="A7" s="5"/>
      <c r="B7" s="22" t="str">
        <f>IFERROR(__xludf.DUMMYFUNCTION("""COMPUTED_VALUE"""),"d_pegawai
d_masyarakat
ft_pegawai
ft_masyarakat")</f>
        <v>d_pegawai
d_masyarakat
ft_pegawai
ft_masyarakat</v>
      </c>
      <c r="C7" s="22" t="str">
        <f>IFERROR(__xludf.DUMMYFUNCTION("""COMPUTED_VALUE"""),"nama_pegawai
nama_masyarakat
pegawai_key
masyarakat_key")</f>
        <v>nama_pegawai
nama_masyarakat
pegawai_key
masyarakat_key</v>
      </c>
      <c r="D7" s="22" t="str">
        <f>IFERROR(__xludf.DUMMYFUNCTION("""COMPUTED_VALUE"""),"d_subjek")</f>
        <v>d_subjek</v>
      </c>
      <c r="E7" s="22" t="str">
        <f>IFERROR(__xludf.DUMMYFUNCTION("""COMPUTED_VALUE"""),"nama_subjek")</f>
        <v>nama_subjek</v>
      </c>
      <c r="F7" s="22" t="str">
        <f>IFERROR(__xludf.DUMMYFUNCTION("""COMPUTED_VALUE"""),"varchar (150)")</f>
        <v>varchar (150)</v>
      </c>
      <c r="G7" s="22" t="str">
        <f>IFERROR(__xludf.DUMMYFUNCTION("""COMPUTED_VALUE"""),"Budi Santoso, S.T.
Rahmat Hidayat")</f>
        <v>Budi Santoso, S.T.
Rahmat Hidayat</v>
      </c>
      <c r="H7" s="22"/>
      <c r="I7" s="5"/>
      <c r="J7" s="5"/>
      <c r="K7" s="24"/>
      <c r="L7" s="20" t="str">
        <f>IFERROR(__xludf.DUMMYFUNCTION("""COMPUTED_VALUE"""),"FF_PENGAJUAN_DOKUMEN")</f>
        <v>FF_PENGAJUAN_DOKUMEN</v>
      </c>
      <c r="M7" s="19">
        <f>IFERROR(__xludf.DUMMYFUNCTION("""COMPUTED_VALUE"""),3.0)</f>
        <v>3</v>
      </c>
      <c r="N7" s="20" t="b">
        <f>IFERROR(__xludf.DUMMYFUNCTION("""COMPUTED_VALUE"""),FALSE)</f>
        <v>0</v>
      </c>
      <c r="O7" s="20" t="b">
        <f>IFERROR(__xludf.DUMMYFUNCTION("""COMPUTED_VALUE"""),FALSE)</f>
        <v>0</v>
      </c>
      <c r="P7" s="20" t="b">
        <f>IFERROR(__xludf.DUMMYFUNCTION("""COMPUTED_VALUE"""),FALSE)</f>
        <v>0</v>
      </c>
      <c r="Q7" s="20" t="b">
        <f>IFERROR(__xludf.DUMMYFUNCTION("""COMPUTED_VALUE"""),FALSE)</f>
        <v>0</v>
      </c>
      <c r="R7" s="20" t="b">
        <f>IFERROR(__xludf.DUMMYFUNCTION("""COMPUTED_VALUE"""),TRUE)</f>
        <v>1</v>
      </c>
      <c r="S7" s="20" t="b">
        <f>IFERROR(__xludf.DUMMYFUNCTION("""COMPUTED_VALUE"""),TRUE)</f>
        <v>1</v>
      </c>
      <c r="T7" s="20" t="b">
        <f>IFERROR(__xludf.DUMMYFUNCTION("""COMPUTED_VALUE"""),TRUE)</f>
        <v>1</v>
      </c>
      <c r="U7" s="20" t="b">
        <f>IFERROR(__xludf.DUMMYFUNCTION("""COMPUTED_VALUE"""),TRUE)</f>
        <v>1</v>
      </c>
      <c r="V7" s="20" t="b">
        <f>IFERROR(__xludf.DUMMYFUNCTION("""COMPUTED_VALUE"""),FALSE)</f>
        <v>0</v>
      </c>
      <c r="W7" s="20" t="b">
        <f>IFERROR(__xludf.DUMMYFUNCTION("""COMPUTED_VALUE"""),TRUE)</f>
        <v>1</v>
      </c>
      <c r="X7" s="20" t="b">
        <f>IFERROR(__xludf.DUMMYFUNCTION("""COMPUTED_VALUE"""),TRUE)</f>
        <v>1</v>
      </c>
      <c r="Y7" s="20">
        <f>IFERROR(__xludf.DUMMYFUNCTION("""COMPUTED_VALUE"""),6.0)</f>
        <v>6</v>
      </c>
      <c r="Z7" s="9"/>
    </row>
    <row r="8">
      <c r="A8" s="5"/>
      <c r="B8" s="22"/>
      <c r="C8" s="22"/>
      <c r="D8" s="22" t="str">
        <f>IFERROR(__xludf.DUMMYFUNCTION("""COMPUTED_VALUE"""),"d_subjek")</f>
        <v>d_subjek</v>
      </c>
      <c r="E8" s="22" t="str">
        <f>IFERROR(__xludf.DUMMYFUNCTION("""COMPUTED_VALUE"""),"tipe_subjek")</f>
        <v>tipe_subjek</v>
      </c>
      <c r="F8" s="22" t="str">
        <f>IFERROR(__xludf.DUMMYFUNCTION("""COMPUTED_VALUE"""),"varchar (35)")</f>
        <v>varchar (35)</v>
      </c>
      <c r="G8" s="22" t="str">
        <f>IFERROR(__xludf.DUMMYFUNCTION("""COMPUTED_VALUE"""),"Pegawai
Masyarakat")</f>
        <v>Pegawai
Masyarakat</v>
      </c>
      <c r="H8" s="22"/>
      <c r="I8" s="5"/>
      <c r="J8" s="5"/>
      <c r="K8" s="17"/>
      <c r="L8" s="20" t="str">
        <f>IFERROR(__xludf.DUMMYFUNCTION("""COMPUTED_VALUE"""),"FA_DASHBOARD")</f>
        <v>FA_DASHBOARD</v>
      </c>
      <c r="M8" s="19">
        <f>IFERROR(__xludf.DUMMYFUNCTION("""COMPUTED_VALUE"""),4.0)</f>
        <v>4</v>
      </c>
      <c r="N8" s="20" t="b">
        <f>IFERROR(__xludf.DUMMYFUNCTION("""COMPUTED_VALUE"""),FALSE)</f>
        <v>0</v>
      </c>
      <c r="O8" s="20" t="b">
        <f>IFERROR(__xludf.DUMMYFUNCTION("""COMPUTED_VALUE"""),FALSE)</f>
        <v>0</v>
      </c>
      <c r="P8" s="20" t="b">
        <f>IFERROR(__xludf.DUMMYFUNCTION("""COMPUTED_VALUE"""),FALSE)</f>
        <v>0</v>
      </c>
      <c r="Q8" s="20" t="b">
        <f>IFERROR(__xludf.DUMMYFUNCTION("""COMPUTED_VALUE"""),FALSE)</f>
        <v>0</v>
      </c>
      <c r="R8" s="20" t="b">
        <f>IFERROR(__xludf.DUMMYFUNCTION("""COMPUTED_VALUE"""),FALSE)</f>
        <v>0</v>
      </c>
      <c r="S8" s="20" t="b">
        <f>IFERROR(__xludf.DUMMYFUNCTION("""COMPUTED_VALUE"""),TRUE)</f>
        <v>1</v>
      </c>
      <c r="T8" s="20" t="b">
        <f>IFERROR(__xludf.DUMMYFUNCTION("""COMPUTED_VALUE"""),TRUE)</f>
        <v>1</v>
      </c>
      <c r="U8" s="20" t="b">
        <f>IFERROR(__xludf.DUMMYFUNCTION("""COMPUTED_VALUE"""),FALSE)</f>
        <v>0</v>
      </c>
      <c r="V8" s="20" t="b">
        <f>IFERROR(__xludf.DUMMYFUNCTION("""COMPUTED_VALUE"""),FALSE)</f>
        <v>0</v>
      </c>
      <c r="W8" s="20" t="b">
        <f>IFERROR(__xludf.DUMMYFUNCTION("""COMPUTED_VALUE"""),FALSE)</f>
        <v>0</v>
      </c>
      <c r="X8" s="20" t="b">
        <f>IFERROR(__xludf.DUMMYFUNCTION("""COMPUTED_VALUE"""),TRUE)</f>
        <v>1</v>
      </c>
      <c r="Y8" s="20">
        <f>IFERROR(__xludf.DUMMYFUNCTION("""COMPUTED_VALUE"""),3.0)</f>
        <v>3</v>
      </c>
      <c r="Z8" s="9"/>
    </row>
    <row r="9">
      <c r="A9" s="5"/>
      <c r="B9" s="22" t="str">
        <f>IFERROR(__xludf.DUMMYFUNCTION("""COMPUTED_VALUE"""),"d_unit_kerja
d_desa
ft_pegawai
ft_masyarakat")</f>
        <v>d_unit_kerja
d_desa
ft_pegawai
ft_masyarakat</v>
      </c>
      <c r="C9" s="21" t="str">
        <f>IFERROR(__xludf.DUMMYFUNCTION("""COMPUTED_VALUE"""),"unit_kerja_nama
desa_nama
unit_kerja_key
desa_key")</f>
        <v>unit_kerja_nama
desa_nama
unit_kerja_key
desa_key</v>
      </c>
      <c r="D9" s="22" t="str">
        <f>IFERROR(__xludf.DUMMYFUNCTION("""COMPUTED_VALUE"""),"d_subjek")</f>
        <v>d_subjek</v>
      </c>
      <c r="E9" s="22" t="str">
        <f>IFERROR(__xludf.DUMMYFUNCTION("""COMPUTED_VALUE"""),"unit_kerja")</f>
        <v>unit_kerja</v>
      </c>
      <c r="F9" s="22" t="str">
        <f>IFERROR(__xludf.DUMMYFUNCTION("""COMPUTED_VALUE"""),"varchar (255)")</f>
        <v>varchar (255)</v>
      </c>
      <c r="G9" s="22" t="str">
        <f>IFERROR(__xludf.DUMMYFUNCTION("""COMPUTED_VALUE"""),"Dinas Kominfo Kota Pariaman
Desa Kurai Taji")</f>
        <v>Dinas Kominfo Kota Pariaman
Desa Kurai Taji</v>
      </c>
      <c r="H9" s="22"/>
      <c r="I9" s="5"/>
      <c r="J9" s="5"/>
      <c r="K9" s="25"/>
      <c r="L9" s="7"/>
      <c r="M9" s="8"/>
      <c r="N9" s="20">
        <f>IFERROR(__xludf.DUMMYFUNCTION("""COMPUTED_VALUE"""),1.0)</f>
        <v>1</v>
      </c>
      <c r="O9" s="20">
        <f>IFERROR(__xludf.DUMMYFUNCTION("""COMPUTED_VALUE"""),1.0)</f>
        <v>1</v>
      </c>
      <c r="P9" s="20">
        <f>IFERROR(__xludf.DUMMYFUNCTION("""COMPUTED_VALUE"""),1.0)</f>
        <v>1</v>
      </c>
      <c r="Q9" s="20">
        <f>IFERROR(__xludf.DUMMYFUNCTION("""COMPUTED_VALUE"""),1.0)</f>
        <v>1</v>
      </c>
      <c r="R9" s="20">
        <f>IFERROR(__xludf.DUMMYFUNCTION("""COMPUTED_VALUE"""),1.0)</f>
        <v>1</v>
      </c>
      <c r="S9" s="20">
        <f>IFERROR(__xludf.DUMMYFUNCTION("""COMPUTED_VALUE"""),2.0)</f>
        <v>2</v>
      </c>
      <c r="T9" s="20">
        <f>IFERROR(__xludf.DUMMYFUNCTION("""COMPUTED_VALUE"""),2.0)</f>
        <v>2</v>
      </c>
      <c r="U9" s="20">
        <f>IFERROR(__xludf.DUMMYFUNCTION("""COMPUTED_VALUE"""),1.0)</f>
        <v>1</v>
      </c>
      <c r="V9" s="20">
        <f>IFERROR(__xludf.DUMMYFUNCTION("""COMPUTED_VALUE"""),0.0)</f>
        <v>0</v>
      </c>
      <c r="W9" s="20">
        <f>IFERROR(__xludf.DUMMYFUNCTION("""COMPUTED_VALUE"""),1.0)</f>
        <v>1</v>
      </c>
      <c r="X9" s="20">
        <f>IFERROR(__xludf.DUMMYFUNCTION("""COMPUTED_VALUE"""),2.0)</f>
        <v>2</v>
      </c>
      <c r="Y9" s="20"/>
      <c r="Z9" s="9"/>
    </row>
    <row r="10">
      <c r="A10" s="5"/>
      <c r="B10" s="22"/>
      <c r="C10" s="22"/>
      <c r="D10" s="22" t="str">
        <f>IFERROR(__xludf.DUMMYFUNCTION("""COMPUTED_VALUE"""),"d_subjek")</f>
        <v>d_subjek</v>
      </c>
      <c r="E10" s="22" t="str">
        <f>IFERROR(__xludf.DUMMYFUNCTION("""COMPUTED_VALUE"""),"created_at")</f>
        <v>created_at</v>
      </c>
      <c r="F10" s="22" t="str">
        <f>IFERROR(__xludf.DUMMYFUNCTION("""COMPUTED_VALUE"""),"timestamp")</f>
        <v>timestamp</v>
      </c>
      <c r="G10" s="22"/>
      <c r="H10" s="22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22"/>
      <c r="C11" s="22"/>
      <c r="D11" s="22" t="str">
        <f>IFERROR(__xludf.DUMMYFUNCTION("""COMPUTED_VALUE"""),"d_subjek")</f>
        <v>d_subjek</v>
      </c>
      <c r="E11" s="22" t="str">
        <f>IFERROR(__xludf.DUMMYFUNCTION("""COMPUTED_VALUE"""),"updated_at")</f>
        <v>updated_at</v>
      </c>
      <c r="F11" s="22" t="str">
        <f>IFERROR(__xludf.DUMMYFUNCTION("""COMPUTED_VALUE"""),"timestamp")</f>
        <v>timestamp</v>
      </c>
      <c r="G11" s="22"/>
      <c r="H11" s="22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6" t="str">
        <f>IFERROR(__xludf.DUMMYFUNCTION("""COMPUTED_VALUE"""),"d_dokumen")</f>
        <v>d_dokumen</v>
      </c>
      <c r="C12" s="7"/>
      <c r="D12" s="7"/>
      <c r="E12" s="7"/>
      <c r="F12" s="7"/>
      <c r="G12" s="7"/>
      <c r="H12" s="8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11" t="str">
        <f>IFERROR(__xludf.DUMMYFUNCTION("""COMPUTED_VALUE"""),"SUMBER DATA")</f>
        <v>SUMBER DATA</v>
      </c>
      <c r="C13" s="8"/>
      <c r="D13" s="12" t="str">
        <f>IFERROR(__xludf.DUMMYFUNCTION("""COMPUTED_VALUE"""),"TARGET DATA")</f>
        <v>TARGET DATA</v>
      </c>
      <c r="E13" s="7"/>
      <c r="F13" s="8"/>
      <c r="G13" s="13" t="str">
        <f>IFERROR(__xludf.DUMMYFUNCTION("""COMPUTED_VALUE"""),"SAMPEL DATA")</f>
        <v>SAMPEL DATA</v>
      </c>
      <c r="H13" s="13" t="str">
        <f>IFERROR(__xludf.DUMMYFUNCTION("""COMPUTED_VALUE"""),"KETERANGAN")</f>
        <v>KETERANGAN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16" t="str">
        <f>IFERROR(__xludf.DUMMYFUNCTION("""COMPUTED_VALUE"""),"NAMA TABEL")</f>
        <v>NAMA TABEL</v>
      </c>
      <c r="C14" s="16" t="str">
        <f>IFERROR(__xludf.DUMMYFUNCTION("""COMPUTED_VALUE"""),"NAMA KOLOM")</f>
        <v>NAMA KOLOM</v>
      </c>
      <c r="D14" s="16" t="str">
        <f>IFERROR(__xludf.DUMMYFUNCTION("""COMPUTED_VALUE"""),"NAMA TABEL")</f>
        <v>NAMA TABEL</v>
      </c>
      <c r="E14" s="16" t="str">
        <f>IFERROR(__xludf.DUMMYFUNCTION("""COMPUTED_VALUE"""),"NAMA KOLOM")</f>
        <v>NAMA KOLOM</v>
      </c>
      <c r="F14" s="16" t="str">
        <f>IFERROR(__xludf.DUMMYFUNCTION("""COMPUTED_VALUE"""),"TIPE DATA")</f>
        <v>TIPE DATA</v>
      </c>
      <c r="G14" s="17"/>
      <c r="H14" s="17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22"/>
      <c r="C15" s="22"/>
      <c r="D15" s="22" t="str">
        <f>IFERROR(__xludf.DUMMYFUNCTION("""COMPUTED_VALUE"""),"d_dokumen")</f>
        <v>d_dokumen</v>
      </c>
      <c r="E15" s="22" t="str">
        <f>IFERROR(__xludf.DUMMYFUNCTION("""COMPUTED_VALUE"""),"dokumen_key")</f>
        <v>dokumen_key</v>
      </c>
      <c r="F15" s="22" t="str">
        <f>IFERROR(__xludf.DUMMYFUNCTION("""COMPUTED_VALUE"""),"integer")</f>
        <v>integer</v>
      </c>
      <c r="G15" s="22"/>
      <c r="H15" s="22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22" t="str">
        <f>IFERROR(__xludf.DUMMYFUNCTION("""COMPUTED_VALUE"""),"dokumen")</f>
        <v>dokumen</v>
      </c>
      <c r="C16" s="22" t="str">
        <f>IFERROR(__xludf.DUMMYFUNCTION("""COMPUTED_VALUE"""),"nama_file")</f>
        <v>nama_file</v>
      </c>
      <c r="D16" s="22" t="str">
        <f>IFERROR(__xludf.DUMMYFUNCTION("""COMPUTED_VALUE"""),"d_dokumen")</f>
        <v>d_dokumen</v>
      </c>
      <c r="E16" s="22" t="str">
        <f>IFERROR(__xludf.DUMMYFUNCTION("""COMPUTED_VALUE"""),"dokumen_judul")</f>
        <v>dokumen_judul</v>
      </c>
      <c r="F16" s="22" t="str">
        <f>IFERROR(__xludf.DUMMYFUNCTION("""COMPUTED_VALUE"""),"clob")</f>
        <v>clob</v>
      </c>
      <c r="G16" s="22" t="str">
        <f>IFERROR(__xludf.DUMMYFUNCTION("""COMPUTED_VALUE"""),"SK TIM UKPBJ 2023 Revisi 1")</f>
        <v>SK TIM UKPBJ 2023 Revisi 1</v>
      </c>
      <c r="H16" s="22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22" t="str">
        <f>IFERROR(__xludf.DUMMYFUNCTION("""COMPUTED_VALUE"""),"dokumen")</f>
        <v>dokumen</v>
      </c>
      <c r="C17" s="22" t="str">
        <f>IFERROR(__xludf.DUMMYFUNCTION("""COMPUTED_VALUE"""),"file")</f>
        <v>file</v>
      </c>
      <c r="D17" s="22" t="str">
        <f>IFERROR(__xludf.DUMMYFUNCTION("""COMPUTED_VALUE"""),"d_dokumen")</f>
        <v>d_dokumen</v>
      </c>
      <c r="E17" s="22" t="str">
        <f>IFERROR(__xludf.DUMMYFUNCTION("""COMPUTED_VALUE"""),"nama_file")</f>
        <v>nama_file</v>
      </c>
      <c r="F17" s="22" t="str">
        <f>IFERROR(__xludf.DUMMYFUNCTION("""COMPUTED_VALUE"""),"clob")</f>
        <v>clob</v>
      </c>
      <c r="G17" s="22" t="str">
        <f>IFERROR(__xludf.DUMMYFUNCTION("""COMPUTED_VALUE"""),"SK TIM UKPBJ 2023 Revisi 1_221223-034948.doc")</f>
        <v>SK TIM UKPBJ 2023 Revisi 1_221223-034948.doc</v>
      </c>
      <c r="H17" s="22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22"/>
      <c r="C18" s="22"/>
      <c r="D18" s="22" t="str">
        <f>IFERROR(__xludf.DUMMYFUNCTION("""COMPUTED_VALUE"""),"d_dokumen")</f>
        <v>d_dokumen</v>
      </c>
      <c r="E18" s="22" t="str">
        <f>IFERROR(__xludf.DUMMYFUNCTION("""COMPUTED_VALUE"""),"created_at")</f>
        <v>created_at</v>
      </c>
      <c r="F18" s="22" t="str">
        <f>IFERROR(__xludf.DUMMYFUNCTION("""COMPUTED_VALUE"""),"timestamp")</f>
        <v>timestamp</v>
      </c>
      <c r="G18" s="22"/>
      <c r="H18" s="22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22"/>
      <c r="C19" s="22"/>
      <c r="D19" s="22" t="str">
        <f>IFERROR(__xludf.DUMMYFUNCTION("""COMPUTED_VALUE"""),"d_dokumen")</f>
        <v>d_dokumen</v>
      </c>
      <c r="E19" s="22" t="str">
        <f>IFERROR(__xludf.DUMMYFUNCTION("""COMPUTED_VALUE"""),"updated_at")</f>
        <v>updated_at</v>
      </c>
      <c r="F19" s="22" t="str">
        <f>IFERROR(__xludf.DUMMYFUNCTION("""COMPUTED_VALUE"""),"timestamp")</f>
        <v>timestamp</v>
      </c>
      <c r="G19" s="22"/>
      <c r="H19" s="22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6" t="str">
        <f>IFERROR(__xludf.DUMMYFUNCTION("""COMPUTED_VALUE"""),"d_perihal_dokumen")</f>
        <v>d_perihal_dokumen</v>
      </c>
      <c r="C20" s="7"/>
      <c r="D20" s="7"/>
      <c r="E20" s="7"/>
      <c r="F20" s="7"/>
      <c r="G20" s="7"/>
      <c r="H20" s="8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11" t="str">
        <f>IFERROR(__xludf.DUMMYFUNCTION("""COMPUTED_VALUE"""),"SUMBER DATA")</f>
        <v>SUMBER DATA</v>
      </c>
      <c r="C21" s="8"/>
      <c r="D21" s="12" t="str">
        <f>IFERROR(__xludf.DUMMYFUNCTION("""COMPUTED_VALUE"""),"TARGET DATA")</f>
        <v>TARGET DATA</v>
      </c>
      <c r="E21" s="7"/>
      <c r="F21" s="8"/>
      <c r="G21" s="13" t="str">
        <f>IFERROR(__xludf.DUMMYFUNCTION("""COMPUTED_VALUE"""),"SAMPEL DATA")</f>
        <v>SAMPEL DATA</v>
      </c>
      <c r="H21" s="13" t="str">
        <f>IFERROR(__xludf.DUMMYFUNCTION("""COMPUTED_VALUE"""),"KETERANGAN")</f>
        <v>KETERANGAN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16" t="str">
        <f>IFERROR(__xludf.DUMMYFUNCTION("""COMPUTED_VALUE"""),"NAMA TABEL")</f>
        <v>NAMA TABEL</v>
      </c>
      <c r="C22" s="16" t="str">
        <f>IFERROR(__xludf.DUMMYFUNCTION("""COMPUTED_VALUE"""),"NAMA KOLOM")</f>
        <v>NAMA KOLOM</v>
      </c>
      <c r="D22" s="16" t="str">
        <f>IFERROR(__xludf.DUMMYFUNCTION("""COMPUTED_VALUE"""),"NAMA TABEL")</f>
        <v>NAMA TABEL</v>
      </c>
      <c r="E22" s="16" t="str">
        <f>IFERROR(__xludf.DUMMYFUNCTION("""COMPUTED_VALUE"""),"NAMA KOLOM")</f>
        <v>NAMA KOLOM</v>
      </c>
      <c r="F22" s="16" t="str">
        <f>IFERROR(__xludf.DUMMYFUNCTION("""COMPUTED_VALUE"""),"TIPE DATA")</f>
        <v>TIPE DATA</v>
      </c>
      <c r="G22" s="17"/>
      <c r="H22" s="17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22"/>
      <c r="C23" s="22"/>
      <c r="D23" s="22" t="str">
        <f>IFERROR(__xludf.DUMMYFUNCTION("""COMPUTED_VALUE"""),"d_perihal_dokumen")</f>
        <v>d_perihal_dokumen</v>
      </c>
      <c r="E23" s="22" t="str">
        <f>IFERROR(__xludf.DUMMYFUNCTION("""COMPUTED_VALUE"""),"perihal_dokumen_key")</f>
        <v>perihal_dokumen_key</v>
      </c>
      <c r="F23" s="22" t="str">
        <f>IFERROR(__xludf.DUMMYFUNCTION("""COMPUTED_VALUE"""),"integer")</f>
        <v>integer</v>
      </c>
      <c r="G23" s="22"/>
      <c r="H23" s="22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22" t="str">
        <f>IFERROR(__xludf.DUMMYFUNCTION("""COMPUTED_VALUE"""),"dokumen")</f>
        <v>dokumen</v>
      </c>
      <c r="C24" s="22" t="str">
        <f>IFERROR(__xludf.DUMMYFUNCTION("""COMPUTED_VALUE"""),"perihal")</f>
        <v>perihal</v>
      </c>
      <c r="D24" s="22" t="str">
        <f>IFERROR(__xludf.DUMMYFUNCTION("""COMPUTED_VALUE"""),"d_perihal_dokumen")</f>
        <v>d_perihal_dokumen</v>
      </c>
      <c r="E24" s="22" t="str">
        <f>IFERROR(__xludf.DUMMYFUNCTION("""COMPUTED_VALUE"""),"perihal_dokumen")</f>
        <v>perihal_dokumen</v>
      </c>
      <c r="F24" s="22" t="str">
        <f>IFERROR(__xludf.DUMMYFUNCTION("""COMPUTED_VALUE"""),"clob")</f>
        <v>clob</v>
      </c>
      <c r="G24" s="22" t="str">
        <f>IFERROR(__xludf.DUMMYFUNCTION("""COMPUTED_VALUE"""),"Rancangan SK Adpem tentang Tim UKPBJ")</f>
        <v>Rancangan SK Adpem tentang Tim UKPBJ</v>
      </c>
      <c r="H24" s="22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22"/>
      <c r="C25" s="22"/>
      <c r="D25" s="22" t="str">
        <f>IFERROR(__xludf.DUMMYFUNCTION("""COMPUTED_VALUE"""),"d_perihal_dokumen")</f>
        <v>d_perihal_dokumen</v>
      </c>
      <c r="E25" s="22" t="str">
        <f>IFERROR(__xludf.DUMMYFUNCTION("""COMPUTED_VALUE"""),"created_at")</f>
        <v>created_at</v>
      </c>
      <c r="F25" s="22" t="str">
        <f>IFERROR(__xludf.DUMMYFUNCTION("""COMPUTED_VALUE"""),"timestamp")</f>
        <v>timestamp</v>
      </c>
      <c r="G25" s="22"/>
      <c r="H25" s="22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22"/>
      <c r="C26" s="22"/>
      <c r="D26" s="22" t="str">
        <f>IFERROR(__xludf.DUMMYFUNCTION("""COMPUTED_VALUE"""),"d_perihal_dokumen")</f>
        <v>d_perihal_dokumen</v>
      </c>
      <c r="E26" s="22" t="str">
        <f>IFERROR(__xludf.DUMMYFUNCTION("""COMPUTED_VALUE"""),"updated_at")</f>
        <v>updated_at</v>
      </c>
      <c r="F26" s="22" t="str">
        <f>IFERROR(__xludf.DUMMYFUNCTION("""COMPUTED_VALUE"""),"timestamp")</f>
        <v>timestamp</v>
      </c>
      <c r="G26" s="22"/>
      <c r="H26" s="22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6" t="str">
        <f>IFERROR(__xludf.DUMMYFUNCTION("""COMPUTED_VALUE"""),"d_status_dokumen")</f>
        <v>d_status_dokumen</v>
      </c>
      <c r="C27" s="7"/>
      <c r="D27" s="7"/>
      <c r="E27" s="7"/>
      <c r="F27" s="7"/>
      <c r="G27" s="7"/>
      <c r="H27" s="8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11" t="str">
        <f>IFERROR(__xludf.DUMMYFUNCTION("""COMPUTED_VALUE"""),"SUMBER DATA")</f>
        <v>SUMBER DATA</v>
      </c>
      <c r="C28" s="8"/>
      <c r="D28" s="12" t="str">
        <f>IFERROR(__xludf.DUMMYFUNCTION("""COMPUTED_VALUE"""),"TARGET DATA")</f>
        <v>TARGET DATA</v>
      </c>
      <c r="E28" s="7"/>
      <c r="F28" s="8"/>
      <c r="G28" s="13" t="str">
        <f>IFERROR(__xludf.DUMMYFUNCTION("""COMPUTED_VALUE"""),"SAMPEL DATA")</f>
        <v>SAMPEL DATA</v>
      </c>
      <c r="H28" s="13" t="str">
        <f>IFERROR(__xludf.DUMMYFUNCTION("""COMPUTED_VALUE"""),"KETERANGAN")</f>
        <v>KETERANGAN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16" t="str">
        <f>IFERROR(__xludf.DUMMYFUNCTION("""COMPUTED_VALUE"""),"NAMA TABEL")</f>
        <v>NAMA TABEL</v>
      </c>
      <c r="C29" s="16" t="str">
        <f>IFERROR(__xludf.DUMMYFUNCTION("""COMPUTED_VALUE"""),"NAMA KOLOM")</f>
        <v>NAMA KOLOM</v>
      </c>
      <c r="D29" s="16" t="str">
        <f>IFERROR(__xludf.DUMMYFUNCTION("""COMPUTED_VALUE"""),"NAMA TABEL")</f>
        <v>NAMA TABEL</v>
      </c>
      <c r="E29" s="16" t="str">
        <f>IFERROR(__xludf.DUMMYFUNCTION("""COMPUTED_VALUE"""),"NAMA KOLOM")</f>
        <v>NAMA KOLOM</v>
      </c>
      <c r="F29" s="16" t="str">
        <f>IFERROR(__xludf.DUMMYFUNCTION("""COMPUTED_VALUE"""),"TIPE DATA")</f>
        <v>TIPE DATA</v>
      </c>
      <c r="G29" s="17"/>
      <c r="H29" s="17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22"/>
      <c r="C30" s="22"/>
      <c r="D30" s="22" t="str">
        <f>IFERROR(__xludf.DUMMYFUNCTION("""COMPUTED_VALUE"""),"d_status_dokumen")</f>
        <v>d_status_dokumen</v>
      </c>
      <c r="E30" s="22" t="str">
        <f>IFERROR(__xludf.DUMMYFUNCTION("""COMPUTED_VALUE"""),"status_key")</f>
        <v>status_key</v>
      </c>
      <c r="F30" s="22" t="str">
        <f>IFERROR(__xludf.DUMMYFUNCTION("""COMPUTED_VALUE"""),"integer")</f>
        <v>integer</v>
      </c>
      <c r="G30" s="22"/>
      <c r="H30" s="22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22" t="str">
        <f>IFERROR(__xludf.DUMMYFUNCTION("""COMPUTED_VALUE"""),"dokumen")</f>
        <v>dokumen</v>
      </c>
      <c r="C31" s="22" t="str">
        <f>IFERROR(__xludf.DUMMYFUNCTION("""COMPUTED_VALUE"""),"status")</f>
        <v>status</v>
      </c>
      <c r="D31" s="22" t="str">
        <f>IFERROR(__xludf.DUMMYFUNCTION("""COMPUTED_VALUE"""),"d_status_dokumen")</f>
        <v>d_status_dokumen</v>
      </c>
      <c r="E31" s="22" t="str">
        <f>IFERROR(__xludf.DUMMYFUNCTION("""COMPUTED_VALUE"""),"status_kode")</f>
        <v>status_kode</v>
      </c>
      <c r="F31" s="22" t="str">
        <f>IFERROR(__xludf.DUMMYFUNCTION("""COMPUTED_VALUE"""),"varchar (10)")</f>
        <v>varchar (10)</v>
      </c>
      <c r="G31" s="22" t="str">
        <f>IFERROR(__xludf.DUMMYFUNCTION("""COMPUTED_VALUE"""),"1,2,3,4,5,6")</f>
        <v>1,2,3,4,5,6</v>
      </c>
      <c r="H31" s="22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22"/>
      <c r="C32" s="22"/>
      <c r="D32" s="22" t="str">
        <f>IFERROR(__xludf.DUMMYFUNCTION("""COMPUTED_VALUE"""),"d_status_dokumen")</f>
        <v>d_status_dokumen</v>
      </c>
      <c r="E32" s="22" t="str">
        <f>IFERROR(__xludf.DUMMYFUNCTION("""COMPUTED_VALUE"""),"status")</f>
        <v>status</v>
      </c>
      <c r="F32" s="22" t="str">
        <f>IFERROR(__xludf.DUMMYFUNCTION("""COMPUTED_VALUE"""),"varchar (150)")</f>
        <v>varchar (150)</v>
      </c>
      <c r="G32" s="22" t="str">
        <f>IFERROR(__xludf.DUMMYFUNCTION("""COMPUTED_VALUE"""),"File Terkirim
File Terkirim (Diperbaiki)
File Minta Diperbarui
File Revisi
File Disetujui Admin Hukum
File Disetujui Kabid Hukum")</f>
        <v>File Terkirim
File Terkirim (Diperbaiki)
File Minta Diperbarui
File Revisi
File Disetujui Admin Hukum
File Disetujui Kabid Hukum</v>
      </c>
      <c r="H32" s="22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22"/>
      <c r="C33" s="22"/>
      <c r="D33" s="22" t="str">
        <f>IFERROR(__xludf.DUMMYFUNCTION("""COMPUTED_VALUE"""),"d_status_dokumen")</f>
        <v>d_status_dokumen</v>
      </c>
      <c r="E33" s="22" t="str">
        <f>IFERROR(__xludf.DUMMYFUNCTION("""COMPUTED_VALUE"""),"created_at")</f>
        <v>created_at</v>
      </c>
      <c r="F33" s="22" t="str">
        <f>IFERROR(__xludf.DUMMYFUNCTION("""COMPUTED_VALUE"""),"timestamp")</f>
        <v>timestamp</v>
      </c>
      <c r="G33" s="22"/>
      <c r="H33" s="22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22"/>
      <c r="C34" s="22"/>
      <c r="D34" s="22" t="str">
        <f>IFERROR(__xludf.DUMMYFUNCTION("""COMPUTED_VALUE"""),"d_status_dokumen")</f>
        <v>d_status_dokumen</v>
      </c>
      <c r="E34" s="22" t="str">
        <f>IFERROR(__xludf.DUMMYFUNCTION("""COMPUTED_VALUE"""),"updated_at")</f>
        <v>updated_at</v>
      </c>
      <c r="F34" s="22" t="str">
        <f>IFERROR(__xludf.DUMMYFUNCTION("""COMPUTED_VALUE"""),"timestamp")</f>
        <v>timestamp</v>
      </c>
      <c r="G34" s="22"/>
      <c r="H34" s="22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6" t="str">
        <f>IFERROR(__xludf.DUMMYFUNCTION("""COMPUTED_VALUE"""),"d_status_pengajuan")</f>
        <v>d_status_pengajuan</v>
      </c>
      <c r="C35" s="7"/>
      <c r="D35" s="7"/>
      <c r="E35" s="7"/>
      <c r="F35" s="7"/>
      <c r="G35" s="7"/>
      <c r="H35" s="8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11" t="str">
        <f>IFERROR(__xludf.DUMMYFUNCTION("""COMPUTED_VALUE"""),"SUMBER DATA")</f>
        <v>SUMBER DATA</v>
      </c>
      <c r="C36" s="8"/>
      <c r="D36" s="12" t="str">
        <f>IFERROR(__xludf.DUMMYFUNCTION("""COMPUTED_VALUE"""),"TARGET DATA")</f>
        <v>TARGET DATA</v>
      </c>
      <c r="E36" s="7"/>
      <c r="F36" s="8"/>
      <c r="G36" s="13" t="str">
        <f>IFERROR(__xludf.DUMMYFUNCTION("""COMPUTED_VALUE"""),"SAMPEL DATA")</f>
        <v>SAMPEL DATA</v>
      </c>
      <c r="H36" s="13" t="str">
        <f>IFERROR(__xludf.DUMMYFUNCTION("""COMPUTED_VALUE"""),"KETERANGAN")</f>
        <v>KETERANGAN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16" t="str">
        <f>IFERROR(__xludf.DUMMYFUNCTION("""COMPUTED_VALUE"""),"NAMA TABEL")</f>
        <v>NAMA TABEL</v>
      </c>
      <c r="C37" s="16" t="str">
        <f>IFERROR(__xludf.DUMMYFUNCTION("""COMPUTED_VALUE"""),"NAMA KOLOM")</f>
        <v>NAMA KOLOM</v>
      </c>
      <c r="D37" s="16" t="str">
        <f>IFERROR(__xludf.DUMMYFUNCTION("""COMPUTED_VALUE"""),"NAMA TABEL")</f>
        <v>NAMA TABEL</v>
      </c>
      <c r="E37" s="16" t="str">
        <f>IFERROR(__xludf.DUMMYFUNCTION("""COMPUTED_VALUE"""),"NAMA KOLOM")</f>
        <v>NAMA KOLOM</v>
      </c>
      <c r="F37" s="16" t="str">
        <f>IFERROR(__xludf.DUMMYFUNCTION("""COMPUTED_VALUE"""),"TIPE DATA")</f>
        <v>TIPE DATA</v>
      </c>
      <c r="G37" s="17"/>
      <c r="H37" s="17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22"/>
      <c r="C38" s="22"/>
      <c r="D38" s="22" t="str">
        <f>IFERROR(__xludf.DUMMYFUNCTION("""COMPUTED_VALUE"""),"d_status_pengajuan")</f>
        <v>d_status_pengajuan</v>
      </c>
      <c r="E38" s="22" t="str">
        <f>IFERROR(__xludf.DUMMYFUNCTION("""COMPUTED_VALUE"""),"status_key")</f>
        <v>status_key</v>
      </c>
      <c r="F38" s="22" t="str">
        <f>IFERROR(__xludf.DUMMYFUNCTION("""COMPUTED_VALUE"""),"integer")</f>
        <v>integer</v>
      </c>
      <c r="G38" s="22"/>
      <c r="H38" s="22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22"/>
      <c r="C39" s="22"/>
      <c r="D39" s="22" t="str">
        <f>IFERROR(__xludf.DUMMYFUNCTION("""COMPUTED_VALUE"""),"d_status_pengajuan")</f>
        <v>d_status_pengajuan</v>
      </c>
      <c r="E39" s="22" t="str">
        <f>IFERROR(__xludf.DUMMYFUNCTION("""COMPUTED_VALUE"""),"status_kode")</f>
        <v>status_kode</v>
      </c>
      <c r="F39" s="22" t="str">
        <f>IFERROR(__xludf.DUMMYFUNCTION("""COMPUTED_VALUE"""),"varchar (10)")</f>
        <v>varchar (10)</v>
      </c>
      <c r="G39" s="22" t="str">
        <f>IFERROR(__xludf.DUMMYFUNCTION("""COMPUTED_VALUE"""),"1,2,3,4")</f>
        <v>1,2,3,4</v>
      </c>
      <c r="H39" s="22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22"/>
      <c r="C40" s="22"/>
      <c r="D40" s="22" t="str">
        <f>IFERROR(__xludf.DUMMYFUNCTION("""COMPUTED_VALUE"""),"d_status_pengajuan")</f>
        <v>d_status_pengajuan</v>
      </c>
      <c r="E40" s="22" t="str">
        <f>IFERROR(__xludf.DUMMYFUNCTION("""COMPUTED_VALUE"""),"status")</f>
        <v>status</v>
      </c>
      <c r="F40" s="22" t="str">
        <f>IFERROR(__xludf.DUMMYFUNCTION("""COMPUTED_VALUE"""),"varchar (150)")</f>
        <v>varchar (150)</v>
      </c>
      <c r="G40" s="22" t="str">
        <f>IFERROR(__xludf.DUMMYFUNCTION("""COMPUTED_VALUE"""),"Pengajuan
Diproses
Ditolak
Disetujui")</f>
        <v>Pengajuan
Diproses
Ditolak
Disetujui</v>
      </c>
      <c r="H40" s="22" t="str">
        <f>IFERROR(__xludf.DUMMYFUNCTION("""COMPUTED_VALUE"""),"Pengajuan (d_status_dokumen.status_kode: 1, 2)
Diproses (d_status_dokumen.status_kode: 3,5 )
Ditolak (d_status_dokumen.status_kode: 4)
Disetujui (d_status_dokumen.status_kode: 6)")</f>
        <v>Pengajuan (d_status_dokumen.status_kode: 1, 2)
Diproses (d_status_dokumen.status_kode: 3,5 )
Ditolak (d_status_dokumen.status_kode: 4)
Disetujui (d_status_dokumen.status_kode: 6)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22"/>
      <c r="C41" s="22"/>
      <c r="D41" s="22" t="str">
        <f>IFERROR(__xludf.DUMMYFUNCTION("""COMPUTED_VALUE"""),"d_status_pengajuan")</f>
        <v>d_status_pengajuan</v>
      </c>
      <c r="E41" s="22" t="str">
        <f>IFERROR(__xludf.DUMMYFUNCTION("""COMPUTED_VALUE"""),"created_at")</f>
        <v>created_at</v>
      </c>
      <c r="F41" s="22" t="str">
        <f>IFERROR(__xludf.DUMMYFUNCTION("""COMPUTED_VALUE"""),"timestamp")</f>
        <v>timestamp</v>
      </c>
      <c r="G41" s="22"/>
      <c r="H41" s="2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22"/>
      <c r="C42" s="22"/>
      <c r="D42" s="22" t="str">
        <f>IFERROR(__xludf.DUMMYFUNCTION("""COMPUTED_VALUE"""),"d_status_pengajuan")</f>
        <v>d_status_pengajuan</v>
      </c>
      <c r="E42" s="22" t="str">
        <f>IFERROR(__xludf.DUMMYFUNCTION("""COMPUTED_VALUE"""),"updated_at")</f>
        <v>updated_at</v>
      </c>
      <c r="F42" s="22" t="str">
        <f>IFERROR(__xludf.DUMMYFUNCTION("""COMPUTED_VALUE"""),"timestamp")</f>
        <v>timestamp</v>
      </c>
      <c r="G42" s="22"/>
      <c r="H42" s="2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6" t="str">
        <f>IFERROR(__xludf.DUMMYFUNCTION("""COMPUTED_VALUE"""),"d_jenis_dokumen")</f>
        <v>d_jenis_dokumen</v>
      </c>
      <c r="C43" s="7"/>
      <c r="D43" s="7"/>
      <c r="E43" s="7"/>
      <c r="F43" s="7"/>
      <c r="G43" s="7"/>
      <c r="H43" s="8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11" t="str">
        <f>IFERROR(__xludf.DUMMYFUNCTION("""COMPUTED_VALUE"""),"SUMBER DATA")</f>
        <v>SUMBER DATA</v>
      </c>
      <c r="C44" s="8"/>
      <c r="D44" s="12" t="str">
        <f>IFERROR(__xludf.DUMMYFUNCTION("""COMPUTED_VALUE"""),"TARGET DATA")</f>
        <v>TARGET DATA</v>
      </c>
      <c r="E44" s="7"/>
      <c r="F44" s="8"/>
      <c r="G44" s="13" t="str">
        <f>IFERROR(__xludf.DUMMYFUNCTION("""COMPUTED_VALUE"""),"SAMPEL DATA")</f>
        <v>SAMPEL DATA</v>
      </c>
      <c r="H44" s="13" t="str">
        <f>IFERROR(__xludf.DUMMYFUNCTION("""COMPUTED_VALUE"""),"KETERANGAN")</f>
        <v>KETERANGAN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16" t="str">
        <f>IFERROR(__xludf.DUMMYFUNCTION("""COMPUTED_VALUE"""),"NAMA TABEL")</f>
        <v>NAMA TABEL</v>
      </c>
      <c r="C45" s="16" t="str">
        <f>IFERROR(__xludf.DUMMYFUNCTION("""COMPUTED_VALUE"""),"NAMA KOLOM")</f>
        <v>NAMA KOLOM</v>
      </c>
      <c r="D45" s="16" t="str">
        <f>IFERROR(__xludf.DUMMYFUNCTION("""COMPUTED_VALUE"""),"NAMA TABEL")</f>
        <v>NAMA TABEL</v>
      </c>
      <c r="E45" s="16" t="str">
        <f>IFERROR(__xludf.DUMMYFUNCTION("""COMPUTED_VALUE"""),"NAMA KOLOM")</f>
        <v>NAMA KOLOM</v>
      </c>
      <c r="F45" s="16" t="str">
        <f>IFERROR(__xludf.DUMMYFUNCTION("""COMPUTED_VALUE"""),"TIPE DATA")</f>
        <v>TIPE DATA</v>
      </c>
      <c r="G45" s="17"/>
      <c r="H45" s="17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22"/>
      <c r="C46" s="22"/>
      <c r="D46" s="22" t="str">
        <f>IFERROR(__xludf.DUMMYFUNCTION("""COMPUTED_VALUE"""),"d_jenis_dokumen")</f>
        <v>d_jenis_dokumen</v>
      </c>
      <c r="E46" s="22" t="str">
        <f>IFERROR(__xludf.DUMMYFUNCTION("""COMPUTED_VALUE"""),"jenis_dokumen_key")</f>
        <v>jenis_dokumen_key</v>
      </c>
      <c r="F46" s="22" t="str">
        <f>IFERROR(__xludf.DUMMYFUNCTION("""COMPUTED_VALUE"""),"integer")</f>
        <v>integer</v>
      </c>
      <c r="G46" s="22"/>
      <c r="H46" s="22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22" t="str">
        <f>IFERROR(__xludf.DUMMYFUNCTION("""COMPUTED_VALUE"""),"jenis_dokumen")</f>
        <v>jenis_dokumen</v>
      </c>
      <c r="C47" s="22" t="str">
        <f>IFERROR(__xludf.DUMMYFUNCTION("""COMPUTED_VALUE"""),"jenisdok_id")</f>
        <v>jenisdok_id</v>
      </c>
      <c r="D47" s="22" t="str">
        <f>IFERROR(__xludf.DUMMYFUNCTION("""COMPUTED_VALUE"""),"d_jenis_dokumen")</f>
        <v>d_jenis_dokumen</v>
      </c>
      <c r="E47" s="22" t="str">
        <f>IFERROR(__xludf.DUMMYFUNCTION("""COMPUTED_VALUE"""),"kode_jenis_dokumen")</f>
        <v>kode_jenis_dokumen</v>
      </c>
      <c r="F47" s="22" t="str">
        <f>IFERROR(__xludf.DUMMYFUNCTION("""COMPUTED_VALUE"""),"varchar (10)")</f>
        <v>varchar (10)</v>
      </c>
      <c r="G47" s="22"/>
      <c r="H47" s="22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22" t="str">
        <f>IFERROR(__xludf.DUMMYFUNCTION("""COMPUTED_VALUE"""),"jenis_dokumen")</f>
        <v>jenis_dokumen</v>
      </c>
      <c r="C48" s="22" t="str">
        <f>IFERROR(__xludf.DUMMYFUNCTION("""COMPUTED_VALUE"""),"jenis_dokumen")</f>
        <v>jenis_dokumen</v>
      </c>
      <c r="D48" s="22" t="str">
        <f>IFERROR(__xludf.DUMMYFUNCTION("""COMPUTED_VALUE"""),"d_jenis_dokumen")</f>
        <v>d_jenis_dokumen</v>
      </c>
      <c r="E48" s="22" t="str">
        <f>IFERROR(__xludf.DUMMYFUNCTION("""COMPUTED_VALUE"""),"jenis_dokumen")</f>
        <v>jenis_dokumen</v>
      </c>
      <c r="F48" s="22" t="str">
        <f>IFERROR(__xludf.DUMMYFUNCTION("""COMPUTED_VALUE"""),"varchar (150)")</f>
        <v>varchar (150)</v>
      </c>
      <c r="G48" s="22" t="str">
        <f>IFERROR(__xludf.DUMMYFUNCTION("""COMPUTED_VALUE"""),"Perda/ Perwako
SK
Perdes/ Perkades")</f>
        <v>Perda/ Perwako
SK
Perdes/ Perkades</v>
      </c>
      <c r="H48" s="22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22"/>
      <c r="C49" s="22"/>
      <c r="D49" s="22" t="str">
        <f>IFERROR(__xludf.DUMMYFUNCTION("""COMPUTED_VALUE"""),"d_jenis_dokumen")</f>
        <v>d_jenis_dokumen</v>
      </c>
      <c r="E49" s="22" t="str">
        <f>IFERROR(__xludf.DUMMYFUNCTION("""COMPUTED_VALUE"""),"created_at")</f>
        <v>created_at</v>
      </c>
      <c r="F49" s="22" t="str">
        <f>IFERROR(__xludf.DUMMYFUNCTION("""COMPUTED_VALUE"""),"timestamp")</f>
        <v>timestamp</v>
      </c>
      <c r="G49" s="22"/>
      <c r="H49" s="22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22"/>
      <c r="C50" s="22"/>
      <c r="D50" s="22" t="str">
        <f>IFERROR(__xludf.DUMMYFUNCTION("""COMPUTED_VALUE"""),"d_jenis_dokumen")</f>
        <v>d_jenis_dokumen</v>
      </c>
      <c r="E50" s="22" t="str">
        <f>IFERROR(__xludf.DUMMYFUNCTION("""COMPUTED_VALUE"""),"updated_at")</f>
        <v>updated_at</v>
      </c>
      <c r="F50" s="22" t="str">
        <f>IFERROR(__xludf.DUMMYFUNCTION("""COMPUTED_VALUE"""),"timestamp")</f>
        <v>timestamp</v>
      </c>
      <c r="G50" s="22"/>
      <c r="H50" s="22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6" t="str">
        <f>IFERROR(__xludf.DUMMYFUNCTION("""COMPUTED_VALUE"""),"d_date")</f>
        <v>d_date</v>
      </c>
      <c r="C51" s="7"/>
      <c r="D51" s="7"/>
      <c r="E51" s="7"/>
      <c r="F51" s="7"/>
      <c r="G51" s="7"/>
      <c r="H51" s="8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11" t="str">
        <f>IFERROR(__xludf.DUMMYFUNCTION("""COMPUTED_VALUE"""),"SUMBER DATA")</f>
        <v>SUMBER DATA</v>
      </c>
      <c r="C52" s="8"/>
      <c r="D52" s="12" t="str">
        <f>IFERROR(__xludf.DUMMYFUNCTION("""COMPUTED_VALUE"""),"TARGET DATA")</f>
        <v>TARGET DATA</v>
      </c>
      <c r="E52" s="7"/>
      <c r="F52" s="8"/>
      <c r="G52" s="13" t="str">
        <f>IFERROR(__xludf.DUMMYFUNCTION("""COMPUTED_VALUE"""),"SAMPEL DATA")</f>
        <v>SAMPEL DATA</v>
      </c>
      <c r="H52" s="13" t="str">
        <f>IFERROR(__xludf.DUMMYFUNCTION("""COMPUTED_VALUE"""),"KETERANGAN")</f>
        <v>KETERANGAN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16" t="str">
        <f>IFERROR(__xludf.DUMMYFUNCTION("""COMPUTED_VALUE"""),"NAMA TABEL")</f>
        <v>NAMA TABEL</v>
      </c>
      <c r="C53" s="16" t="str">
        <f>IFERROR(__xludf.DUMMYFUNCTION("""COMPUTED_VALUE"""),"NAMA KOLOM")</f>
        <v>NAMA KOLOM</v>
      </c>
      <c r="D53" s="16" t="str">
        <f>IFERROR(__xludf.DUMMYFUNCTION("""COMPUTED_VALUE"""),"NAMA TABEL")</f>
        <v>NAMA TABEL</v>
      </c>
      <c r="E53" s="16" t="str">
        <f>IFERROR(__xludf.DUMMYFUNCTION("""COMPUTED_VALUE"""),"NAMA KOLOM")</f>
        <v>NAMA KOLOM</v>
      </c>
      <c r="F53" s="16" t="str">
        <f>IFERROR(__xludf.DUMMYFUNCTION("""COMPUTED_VALUE"""),"TIPE DATA")</f>
        <v>TIPE DATA</v>
      </c>
      <c r="G53" s="17"/>
      <c r="H53" s="17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22"/>
      <c r="C54" s="22"/>
      <c r="D54" s="22" t="str">
        <f>IFERROR(__xludf.DUMMYFUNCTION("""COMPUTED_VALUE"""),"d_date")</f>
        <v>d_date</v>
      </c>
      <c r="E54" s="22" t="str">
        <f>IFERROR(__xludf.DUMMYFUNCTION("""COMPUTED_VALUE"""),"date_key")</f>
        <v>date_key</v>
      </c>
      <c r="F54" s="22"/>
      <c r="G54" s="22">
        <f>IFERROR(__xludf.DUMMYFUNCTION("""COMPUTED_VALUE"""),2.0250101E7)</f>
        <v>20250101</v>
      </c>
      <c r="H54" s="2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22"/>
      <c r="C55" s="22"/>
      <c r="D55" s="22" t="str">
        <f>IFERROR(__xludf.DUMMYFUNCTION("""COMPUTED_VALUE"""),"d_date")</f>
        <v>d_date</v>
      </c>
      <c r="E55" s="22" t="str">
        <f>IFERROR(__xludf.DUMMYFUNCTION("""COMPUTED_VALUE"""),"date")</f>
        <v>date</v>
      </c>
      <c r="F55" s="22"/>
      <c r="G55" s="26">
        <f>IFERROR(__xludf.DUMMYFUNCTION("""COMPUTED_VALUE"""),45658.0)</f>
        <v>45658</v>
      </c>
      <c r="H55" s="2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22"/>
      <c r="C56" s="22"/>
      <c r="D56" s="22" t="str">
        <f>IFERROR(__xludf.DUMMYFUNCTION("""COMPUTED_VALUE"""),"d_date")</f>
        <v>d_date</v>
      </c>
      <c r="E56" s="22" t="str">
        <f>IFERROR(__xludf.DUMMYFUNCTION("""COMPUTED_VALUE"""),"year")</f>
        <v>year</v>
      </c>
      <c r="F56" s="22"/>
      <c r="G56" s="22">
        <f>IFERROR(__xludf.DUMMYFUNCTION("""COMPUTED_VALUE"""),2025.0)</f>
        <v>2025</v>
      </c>
      <c r="H56" s="2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22"/>
      <c r="C57" s="22"/>
      <c r="D57" s="22" t="str">
        <f>IFERROR(__xludf.DUMMYFUNCTION("""COMPUTED_VALUE"""),"d_date")</f>
        <v>d_date</v>
      </c>
      <c r="E57" s="22" t="str">
        <f>IFERROR(__xludf.DUMMYFUNCTION("""COMPUTED_VALUE"""),"month")</f>
        <v>month</v>
      </c>
      <c r="F57" s="22"/>
      <c r="G57" s="22">
        <f>IFERROR(__xludf.DUMMYFUNCTION("""COMPUTED_VALUE"""),1.0)</f>
        <v>1</v>
      </c>
      <c r="H57" s="2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22"/>
      <c r="C58" s="22"/>
      <c r="D58" s="22" t="str">
        <f>IFERROR(__xludf.DUMMYFUNCTION("""COMPUTED_VALUE"""),"d_date")</f>
        <v>d_date</v>
      </c>
      <c r="E58" s="22" t="str">
        <f>IFERROR(__xludf.DUMMYFUNCTION("""COMPUTED_VALUE"""),"month_name")</f>
        <v>month_name</v>
      </c>
      <c r="F58" s="22"/>
      <c r="G58" s="22" t="str">
        <f>IFERROR(__xludf.DUMMYFUNCTION("""COMPUTED_VALUE"""),"January")</f>
        <v>January</v>
      </c>
      <c r="H58" s="2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22"/>
      <c r="C59" s="22"/>
      <c r="D59" s="22" t="str">
        <f>IFERROR(__xludf.DUMMYFUNCTION("""COMPUTED_VALUE"""),"d_date")</f>
        <v>d_date</v>
      </c>
      <c r="E59" s="22" t="str">
        <f>IFERROR(__xludf.DUMMYFUNCTION("""COMPUTED_VALUE"""),"day_of_month")</f>
        <v>day_of_month</v>
      </c>
      <c r="F59" s="22"/>
      <c r="G59" s="22">
        <f>IFERROR(__xludf.DUMMYFUNCTION("""COMPUTED_VALUE"""),1.0)</f>
        <v>1</v>
      </c>
      <c r="H59" s="2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22"/>
      <c r="C60" s="22"/>
      <c r="D60" s="22" t="str">
        <f>IFERROR(__xludf.DUMMYFUNCTION("""COMPUTED_VALUE"""),"d_date")</f>
        <v>d_date</v>
      </c>
      <c r="E60" s="22" t="str">
        <f>IFERROR(__xludf.DUMMYFUNCTION("""COMPUTED_VALUE"""),"day_of_week")</f>
        <v>day_of_week</v>
      </c>
      <c r="F60" s="22"/>
      <c r="G60" s="22">
        <f>IFERROR(__xludf.DUMMYFUNCTION("""COMPUTED_VALUE"""),4.0)</f>
        <v>4</v>
      </c>
      <c r="H60" s="22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22"/>
      <c r="C61" s="22"/>
      <c r="D61" s="22" t="str">
        <f>IFERROR(__xludf.DUMMYFUNCTION("""COMPUTED_VALUE"""),"d_date")</f>
        <v>d_date</v>
      </c>
      <c r="E61" s="22" t="str">
        <f>IFERROR(__xludf.DUMMYFUNCTION("""COMPUTED_VALUE"""),"day_name")</f>
        <v>day_name</v>
      </c>
      <c r="F61" s="22"/>
      <c r="G61" s="22" t="str">
        <f>IFERROR(__xludf.DUMMYFUNCTION("""COMPUTED_VALUE"""),"Wednesday")</f>
        <v>Wednesday</v>
      </c>
      <c r="H61" s="2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22"/>
      <c r="C62" s="22"/>
      <c r="D62" s="22" t="str">
        <f>IFERROR(__xludf.DUMMYFUNCTION("""COMPUTED_VALUE"""),"d_date")</f>
        <v>d_date</v>
      </c>
      <c r="E62" s="22" t="str">
        <f>IFERROR(__xludf.DUMMYFUNCTION("""COMPUTED_VALUE"""),"is_weekend")</f>
        <v>is_weekend</v>
      </c>
      <c r="F62" s="22"/>
      <c r="G62" s="22">
        <f>IFERROR(__xludf.DUMMYFUNCTION("""COMPUTED_VALUE"""),0.0)</f>
        <v>0</v>
      </c>
      <c r="H62" s="2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6" t="str">
        <f>IFERROR(__xludf.DUMMYFUNCTION("""COMPUTED_VALUE"""),"d_desa")</f>
        <v>d_desa</v>
      </c>
      <c r="C63" s="7"/>
      <c r="D63" s="7"/>
      <c r="E63" s="7"/>
      <c r="F63" s="7"/>
      <c r="G63" s="7"/>
      <c r="H63" s="8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11" t="str">
        <f>IFERROR(__xludf.DUMMYFUNCTION("""COMPUTED_VALUE"""),"SUMBER DATA")</f>
        <v>SUMBER DATA</v>
      </c>
      <c r="C64" s="8"/>
      <c r="D64" s="12" t="str">
        <f>IFERROR(__xludf.DUMMYFUNCTION("""COMPUTED_VALUE"""),"TARGET DATA")</f>
        <v>TARGET DATA</v>
      </c>
      <c r="E64" s="7"/>
      <c r="F64" s="8"/>
      <c r="G64" s="13" t="str">
        <f>IFERROR(__xludf.DUMMYFUNCTION("""COMPUTED_VALUE"""),"SAMPEL DATA")</f>
        <v>SAMPEL DATA</v>
      </c>
      <c r="H64" s="13" t="str">
        <f>IFERROR(__xludf.DUMMYFUNCTION("""COMPUTED_VALUE"""),"KETERANGAN")</f>
        <v>KETERANGAN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16" t="str">
        <f>IFERROR(__xludf.DUMMYFUNCTION("""COMPUTED_VALUE"""),"NAMA TABEL")</f>
        <v>NAMA TABEL</v>
      </c>
      <c r="C65" s="16" t="str">
        <f>IFERROR(__xludf.DUMMYFUNCTION("""COMPUTED_VALUE"""),"NAMA KOLOM")</f>
        <v>NAMA KOLOM</v>
      </c>
      <c r="D65" s="16" t="str">
        <f>IFERROR(__xludf.DUMMYFUNCTION("""COMPUTED_VALUE"""),"NAMA TABEL")</f>
        <v>NAMA TABEL</v>
      </c>
      <c r="E65" s="16" t="str">
        <f>IFERROR(__xludf.DUMMYFUNCTION("""COMPUTED_VALUE"""),"NAMA KOLOM")</f>
        <v>NAMA KOLOM</v>
      </c>
      <c r="F65" s="16" t="str">
        <f>IFERROR(__xludf.DUMMYFUNCTION("""COMPUTED_VALUE"""),"TIPE DATA")</f>
        <v>TIPE DATA</v>
      </c>
      <c r="G65" s="17"/>
      <c r="H65" s="17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22"/>
      <c r="C66" s="22"/>
      <c r="D66" s="22" t="str">
        <f>IFERROR(__xludf.DUMMYFUNCTION("""COMPUTED_VALUE"""),"d_desa")</f>
        <v>d_desa</v>
      </c>
      <c r="E66" s="22" t="str">
        <f>IFERROR(__xludf.DUMMYFUNCTION("""COMPUTED_VALUE"""),"desa_key")</f>
        <v>desa_key</v>
      </c>
      <c r="F66" s="22" t="str">
        <f>IFERROR(__xludf.DUMMYFUNCTION("""COMPUTED_VALUE"""),"integer")</f>
        <v>integer</v>
      </c>
      <c r="G66" s="22"/>
      <c r="H66" s="2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22"/>
      <c r="C67" s="22"/>
      <c r="D67" s="22" t="str">
        <f>IFERROR(__xludf.DUMMYFUNCTION("""COMPUTED_VALUE"""),"d_desa")</f>
        <v>d_desa</v>
      </c>
      <c r="E67" s="22" t="str">
        <f>IFERROR(__xludf.DUMMYFUNCTION("""COMPUTED_VALUE"""),"desa_kode")</f>
        <v>desa_kode</v>
      </c>
      <c r="F67" s="22" t="str">
        <f>IFERROR(__xludf.DUMMYFUNCTION("""COMPUTED_VALUE"""),"varchar (10)")</f>
        <v>varchar (10)</v>
      </c>
      <c r="G67" s="22"/>
      <c r="H67" s="2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22" t="str">
        <f>IFERROR(__xludf.DUMMYFUNCTION("""COMPUTED_VALUE"""),"desa")</f>
        <v>desa</v>
      </c>
      <c r="C68" s="22" t="str">
        <f>IFERROR(__xludf.DUMMYFUNCTION("""COMPUTED_VALUE"""),"nama_desa")</f>
        <v>nama_desa</v>
      </c>
      <c r="D68" s="22" t="str">
        <f>IFERROR(__xludf.DUMMYFUNCTION("""COMPUTED_VALUE"""),"d_desa")</f>
        <v>d_desa</v>
      </c>
      <c r="E68" s="22" t="str">
        <f>IFERROR(__xludf.DUMMYFUNCTION("""COMPUTED_VALUE"""),"desa_nama")</f>
        <v>desa_nama</v>
      </c>
      <c r="F68" s="22" t="str">
        <f>IFERROR(__xludf.DUMMYFUNCTION("""COMPUTED_VALUE"""),"varchar(150)")</f>
        <v>varchar(150)</v>
      </c>
      <c r="G68" s="22"/>
      <c r="H68" s="2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22"/>
      <c r="C69" s="22"/>
      <c r="D69" s="22" t="str">
        <f>IFERROR(__xludf.DUMMYFUNCTION("""COMPUTED_VALUE"""),"d_desa")</f>
        <v>d_desa</v>
      </c>
      <c r="E69" s="22" t="str">
        <f>IFERROR(__xludf.DUMMYFUNCTION("""COMPUTED_VALUE"""),"tanggal_mulai")</f>
        <v>tanggal_mulai</v>
      </c>
      <c r="F69" s="22" t="str">
        <f>IFERROR(__xludf.DUMMYFUNCTION("""COMPUTED_VALUE"""),"date")</f>
        <v>date</v>
      </c>
      <c r="G69" s="26">
        <f>IFERROR(__xludf.DUMMYFUNCTION("""COMPUTED_VALUE"""),46082.0)</f>
        <v>46082</v>
      </c>
      <c r="H69" s="2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22"/>
      <c r="C70" s="22"/>
      <c r="D70" s="22" t="str">
        <f>IFERROR(__xludf.DUMMYFUNCTION("""COMPUTED_VALUE"""),"d_desa")</f>
        <v>d_desa</v>
      </c>
      <c r="E70" s="22" t="str">
        <f>IFERROR(__xludf.DUMMYFUNCTION("""COMPUTED_VALUE"""),"tanggal_selesai")</f>
        <v>tanggal_selesai</v>
      </c>
      <c r="F70" s="22" t="str">
        <f>IFERROR(__xludf.DUMMYFUNCTION("""COMPUTED_VALUE"""),"date")</f>
        <v>date</v>
      </c>
      <c r="G70" s="26">
        <f>IFERROR(__xludf.DUMMYFUNCTION("""COMPUTED_VALUE"""),2958465.0)</f>
        <v>2958465</v>
      </c>
      <c r="H70" s="2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22" t="str">
        <f>IFERROR(__xludf.DUMMYFUNCTION("""COMPUTED_VALUE"""),"desa")</f>
        <v>desa</v>
      </c>
      <c r="C71" s="22" t="str">
        <f>IFERROR(__xludf.DUMMYFUNCTION("""COMPUTED_VALUE"""),"status")</f>
        <v>status</v>
      </c>
      <c r="D71" s="22" t="str">
        <f>IFERROR(__xludf.DUMMYFUNCTION("""COMPUTED_VALUE"""),"d_desa")</f>
        <v>d_desa</v>
      </c>
      <c r="E71" s="22" t="str">
        <f>IFERROR(__xludf.DUMMYFUNCTION("""COMPUTED_VALUE"""),"f_status")</f>
        <v>f_status</v>
      </c>
      <c r="F71" s="22" t="str">
        <f>IFERROR(__xludf.DUMMYFUNCTION("""COMPUTED_VALUE"""),"char (1)")</f>
        <v>char (1)</v>
      </c>
      <c r="G71" s="22"/>
      <c r="H71" s="2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22"/>
      <c r="C72" s="22"/>
      <c r="D72" s="22" t="str">
        <f>IFERROR(__xludf.DUMMYFUNCTION("""COMPUTED_VALUE"""),"d_desa")</f>
        <v>d_desa</v>
      </c>
      <c r="E72" s="22" t="str">
        <f>IFERROR(__xludf.DUMMYFUNCTION("""COMPUTED_VALUE"""),"created_at")</f>
        <v>created_at</v>
      </c>
      <c r="F72" s="22" t="str">
        <f>IFERROR(__xludf.DUMMYFUNCTION("""COMPUTED_VALUE"""),"timestamp")</f>
        <v>timestamp</v>
      </c>
      <c r="G72" s="22"/>
      <c r="H72" s="2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22"/>
      <c r="C73" s="22"/>
      <c r="D73" s="22" t="str">
        <f>IFERROR(__xludf.DUMMYFUNCTION("""COMPUTED_VALUE"""),"d_desa")</f>
        <v>d_desa</v>
      </c>
      <c r="E73" s="22" t="str">
        <f>IFERROR(__xludf.DUMMYFUNCTION("""COMPUTED_VALUE"""),"updated_at")</f>
        <v>updated_at</v>
      </c>
      <c r="F73" s="22" t="str">
        <f>IFERROR(__xludf.DUMMYFUNCTION("""COMPUTED_VALUE"""),"timestamp")</f>
        <v>timestamp</v>
      </c>
      <c r="G73" s="22"/>
      <c r="H73" s="2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6" t="str">
        <f>IFERROR(__xludf.DUMMYFUNCTION("""COMPUTED_VALUE"""),"d_masyarakat")</f>
        <v>d_masyarakat</v>
      </c>
      <c r="C74" s="7"/>
      <c r="D74" s="7"/>
      <c r="E74" s="7"/>
      <c r="F74" s="7"/>
      <c r="G74" s="7"/>
      <c r="H74" s="8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11" t="str">
        <f>IFERROR(__xludf.DUMMYFUNCTION("""COMPUTED_VALUE"""),"SUMBER DATA")</f>
        <v>SUMBER DATA</v>
      </c>
      <c r="C75" s="8"/>
      <c r="D75" s="12" t="str">
        <f>IFERROR(__xludf.DUMMYFUNCTION("""COMPUTED_VALUE"""),"TARGET DATA")</f>
        <v>TARGET DATA</v>
      </c>
      <c r="E75" s="7"/>
      <c r="F75" s="8"/>
      <c r="G75" s="13" t="str">
        <f>IFERROR(__xludf.DUMMYFUNCTION("""COMPUTED_VALUE"""),"SAMPEL DATA")</f>
        <v>SAMPEL DATA</v>
      </c>
      <c r="H75" s="13" t="str">
        <f>IFERROR(__xludf.DUMMYFUNCTION("""COMPUTED_VALUE"""),"KETERANGAN")</f>
        <v>KETERANGAN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16" t="str">
        <f>IFERROR(__xludf.DUMMYFUNCTION("""COMPUTED_VALUE"""),"NAMA TABEL")</f>
        <v>NAMA TABEL</v>
      </c>
      <c r="C76" s="16" t="str">
        <f>IFERROR(__xludf.DUMMYFUNCTION("""COMPUTED_VALUE"""),"NAMA KOLOM")</f>
        <v>NAMA KOLOM</v>
      </c>
      <c r="D76" s="16" t="str">
        <f>IFERROR(__xludf.DUMMYFUNCTION("""COMPUTED_VALUE"""),"NAMA TABEL")</f>
        <v>NAMA TABEL</v>
      </c>
      <c r="E76" s="16" t="str">
        <f>IFERROR(__xludf.DUMMYFUNCTION("""COMPUTED_VALUE"""),"NAMA KOLOM")</f>
        <v>NAMA KOLOM</v>
      </c>
      <c r="F76" s="16" t="str">
        <f>IFERROR(__xludf.DUMMYFUNCTION("""COMPUTED_VALUE"""),"TIPE DATA")</f>
        <v>TIPE DATA</v>
      </c>
      <c r="G76" s="17"/>
      <c r="H76" s="17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22"/>
      <c r="C77" s="22"/>
      <c r="D77" s="22" t="str">
        <f>IFERROR(__xludf.DUMMYFUNCTION("""COMPUTED_VALUE"""),"d_masyarakat")</f>
        <v>d_masyarakat</v>
      </c>
      <c r="E77" s="22" t="str">
        <f>IFERROR(__xludf.DUMMYFUNCTION("""COMPUTED_VALUE"""),"masyarakat_key")</f>
        <v>masyarakat_key</v>
      </c>
      <c r="F77" s="22" t="str">
        <f>IFERROR(__xludf.DUMMYFUNCTION("""COMPUTED_VALUE"""),"integer")</f>
        <v>integer</v>
      </c>
      <c r="G77" s="22"/>
      <c r="H77" s="2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22" t="str">
        <f>IFERROR(__xludf.DUMMYFUNCTION("""COMPUTED_VALUE"""),"desa")</f>
        <v>desa</v>
      </c>
      <c r="C78" s="22" t="str">
        <f>IFERROR(__xludf.DUMMYFUNCTION("""COMPUTED_VALUE"""),"nik")</f>
        <v>nik</v>
      </c>
      <c r="D78" s="22" t="str">
        <f>IFERROR(__xludf.DUMMYFUNCTION("""COMPUTED_VALUE"""),"d_masyarakat")</f>
        <v>d_masyarakat</v>
      </c>
      <c r="E78" s="22" t="str">
        <f>IFERROR(__xludf.DUMMYFUNCTION("""COMPUTED_VALUE"""),"nik")</f>
        <v>nik</v>
      </c>
      <c r="F78" s="22" t="str">
        <f>IFERROR(__xludf.DUMMYFUNCTION("""COMPUTED_VALUE"""),"integer")</f>
        <v>integer</v>
      </c>
      <c r="G78" s="22" t="str">
        <f>IFERROR(__xludf.DUMMYFUNCTION("""COMPUTED_VALUE"""),"1377010106840002")</f>
        <v>1377010106840002</v>
      </c>
      <c r="H78" s="21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22" t="str">
        <f>IFERROR(__xludf.DUMMYFUNCTION("""COMPUTED_VALUE"""),"desa")</f>
        <v>desa</v>
      </c>
      <c r="C79" s="22" t="str">
        <f>IFERROR(__xludf.DUMMYFUNCTION("""COMPUTED_VALUE"""),"nama_user")</f>
        <v>nama_user</v>
      </c>
      <c r="D79" s="22" t="str">
        <f>IFERROR(__xludf.DUMMYFUNCTION("""COMPUTED_VALUE"""),"d_masyarakat")</f>
        <v>d_masyarakat</v>
      </c>
      <c r="E79" s="22" t="str">
        <f>IFERROR(__xludf.DUMMYFUNCTION("""COMPUTED_VALUE"""),"nama_masyarakat")</f>
        <v>nama_masyarakat</v>
      </c>
      <c r="F79" s="22" t="str">
        <f>IFERROR(__xludf.DUMMYFUNCTION("""COMPUTED_VALUE"""),"varchar (255)")</f>
        <v>varchar (255)</v>
      </c>
      <c r="G79" s="22" t="str">
        <f>IFERROR(__xludf.DUMMYFUNCTION("""COMPUTED_VALUE"""),"JUNI HENDRI")</f>
        <v>JUNI HENDRI</v>
      </c>
      <c r="H79" s="2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22"/>
      <c r="C80" s="22"/>
      <c r="D80" s="22" t="str">
        <f>IFERROR(__xludf.DUMMYFUNCTION("""COMPUTED_VALUE"""),"d_masyarakat")</f>
        <v>d_masyarakat</v>
      </c>
      <c r="E80" s="22" t="str">
        <f>IFERROR(__xludf.DUMMYFUNCTION("""COMPUTED_VALUE"""),"created_at")</f>
        <v>created_at</v>
      </c>
      <c r="F80" s="22" t="str">
        <f>IFERROR(__xludf.DUMMYFUNCTION("""COMPUTED_VALUE"""),"timestamp")</f>
        <v>timestamp</v>
      </c>
      <c r="G80" s="22"/>
      <c r="H80" s="2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22"/>
      <c r="C81" s="22"/>
      <c r="D81" s="22" t="str">
        <f>IFERROR(__xludf.DUMMYFUNCTION("""COMPUTED_VALUE"""),"d_masyarakat")</f>
        <v>d_masyarakat</v>
      </c>
      <c r="E81" s="22" t="str">
        <f>IFERROR(__xludf.DUMMYFUNCTION("""COMPUTED_VALUE"""),"updated_at")</f>
        <v>updated_at</v>
      </c>
      <c r="F81" s="22" t="str">
        <f>IFERROR(__xludf.DUMMYFUNCTION("""COMPUTED_VALUE"""),"timestamp")</f>
        <v>timestamp</v>
      </c>
      <c r="G81" s="22"/>
      <c r="H81" s="2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6" t="str">
        <f>IFERROR(__xludf.DUMMYFUNCTION("""COMPUTED_VALUE"""),"d_pegawai")</f>
        <v>d_pegawai</v>
      </c>
      <c r="C82" s="7"/>
      <c r="D82" s="7"/>
      <c r="E82" s="7"/>
      <c r="F82" s="7"/>
      <c r="G82" s="7"/>
      <c r="H82" s="8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11" t="str">
        <f>IFERROR(__xludf.DUMMYFUNCTION("""COMPUTED_VALUE"""),"SUMBER DATA")</f>
        <v>SUMBER DATA</v>
      </c>
      <c r="C83" s="8"/>
      <c r="D83" s="12" t="str">
        <f>IFERROR(__xludf.DUMMYFUNCTION("""COMPUTED_VALUE"""),"TARGET DATA")</f>
        <v>TARGET DATA</v>
      </c>
      <c r="E83" s="7"/>
      <c r="F83" s="8"/>
      <c r="G83" s="13" t="str">
        <f>IFERROR(__xludf.DUMMYFUNCTION("""COMPUTED_VALUE"""),"SAMPEL DATA")</f>
        <v>SAMPEL DATA</v>
      </c>
      <c r="H83" s="13" t="str">
        <f>IFERROR(__xludf.DUMMYFUNCTION("""COMPUTED_VALUE"""),"KETERANGAN")</f>
        <v>KETERANGAN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16" t="str">
        <f>IFERROR(__xludf.DUMMYFUNCTION("""COMPUTED_VALUE"""),"NAMA TABEL")</f>
        <v>NAMA TABEL</v>
      </c>
      <c r="C84" s="16" t="str">
        <f>IFERROR(__xludf.DUMMYFUNCTION("""COMPUTED_VALUE"""),"NAMA KOLOM")</f>
        <v>NAMA KOLOM</v>
      </c>
      <c r="D84" s="16" t="str">
        <f>IFERROR(__xludf.DUMMYFUNCTION("""COMPUTED_VALUE"""),"NAMA TABEL")</f>
        <v>NAMA TABEL</v>
      </c>
      <c r="E84" s="16" t="str">
        <f>IFERROR(__xludf.DUMMYFUNCTION("""COMPUTED_VALUE"""),"NAMA KOLOM")</f>
        <v>NAMA KOLOM</v>
      </c>
      <c r="F84" s="16" t="str">
        <f>IFERROR(__xludf.DUMMYFUNCTION("""COMPUTED_VALUE"""),"TIPE DATA")</f>
        <v>TIPE DATA</v>
      </c>
      <c r="G84" s="17"/>
      <c r="H84" s="17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22"/>
      <c r="C85" s="22"/>
      <c r="D85" s="22" t="str">
        <f>IFERROR(__xludf.DUMMYFUNCTION("""COMPUTED_VALUE"""),"d_pegawai ")</f>
        <v>d_pegawai </v>
      </c>
      <c r="E85" s="22" t="str">
        <f>IFERROR(__xludf.DUMMYFUNCTION("""COMPUTED_VALUE"""),"pegawai_key")</f>
        <v>pegawai_key</v>
      </c>
      <c r="F85" s="22" t="str">
        <f>IFERROR(__xludf.DUMMYFUNCTION("""COMPUTED_VALUE"""),"integer")</f>
        <v>integer</v>
      </c>
      <c r="G85" s="22"/>
      <c r="H85" s="16" t="str">
        <f>IFERROR(__xludf.DUMMYFUNCTION("""COMPUTED_VALUE"""),"TABEL SUDAH READY")</f>
        <v>TABEL SUDAH READY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22"/>
      <c r="C86" s="22"/>
      <c r="D86" s="22" t="str">
        <f>IFERROR(__xludf.DUMMYFUNCTION("""COMPUTED_VALUE"""),"d_pegawai ")</f>
        <v>d_pegawai </v>
      </c>
      <c r="E86" s="22" t="str">
        <f>IFERROR(__xludf.DUMMYFUNCTION("""COMPUTED_VALUE"""),"pns_id")</f>
        <v>pns_id</v>
      </c>
      <c r="F86" s="22" t="str">
        <f>IFERROR(__xludf.DUMMYFUNCTION("""COMPUTED_VALUE"""),"varchar(100)")</f>
        <v>varchar(100)</v>
      </c>
      <c r="G86" s="22"/>
      <c r="H86" s="22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22"/>
      <c r="C87" s="22"/>
      <c r="D87" s="22" t="str">
        <f>IFERROR(__xludf.DUMMYFUNCTION("""COMPUTED_VALUE"""),"d_pegawai ")</f>
        <v>d_pegawai </v>
      </c>
      <c r="E87" s="22" t="str">
        <f>IFERROR(__xludf.DUMMYFUNCTION("""COMPUTED_VALUE"""),"nip")</f>
        <v>nip</v>
      </c>
      <c r="F87" s="22" t="str">
        <f>IFERROR(__xludf.DUMMYFUNCTION("""COMPUTED_VALUE"""),"integer")</f>
        <v>integer</v>
      </c>
      <c r="G87" s="22"/>
      <c r="H87" s="2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22"/>
      <c r="C88" s="22"/>
      <c r="D88" s="22" t="str">
        <f>IFERROR(__xludf.DUMMYFUNCTION("""COMPUTED_VALUE"""),"d_pegawai ")</f>
        <v>d_pegawai </v>
      </c>
      <c r="E88" s="22" t="str">
        <f>IFERROR(__xludf.DUMMYFUNCTION("""COMPUTED_VALUE"""),"nama_pegawai")</f>
        <v>nama_pegawai</v>
      </c>
      <c r="F88" s="22" t="str">
        <f>IFERROR(__xludf.DUMMYFUNCTION("""COMPUTED_VALUE"""),"varchar(255)")</f>
        <v>varchar(255)</v>
      </c>
      <c r="G88" s="22"/>
      <c r="H88" s="2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22"/>
      <c r="C89" s="22"/>
      <c r="D89" s="22" t="str">
        <f>IFERROR(__xludf.DUMMYFUNCTION("""COMPUTED_VALUE"""),"d_pegawai ")</f>
        <v>d_pegawai </v>
      </c>
      <c r="E89" s="22" t="str">
        <f>IFERROR(__xludf.DUMMYFUNCTION("""COMPUTED_VALUE"""),"gelar_depan")</f>
        <v>gelar_depan</v>
      </c>
      <c r="F89" s="22" t="str">
        <f>IFERROR(__xludf.DUMMYFUNCTION("""COMPUTED_VALUE"""),"varchar(150)")</f>
        <v>varchar(150)</v>
      </c>
      <c r="G89" s="22"/>
      <c r="H89" s="2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22"/>
      <c r="C90" s="22"/>
      <c r="D90" s="22" t="str">
        <f>IFERROR(__xludf.DUMMYFUNCTION("""COMPUTED_VALUE"""),"d_pegawai ")</f>
        <v>d_pegawai </v>
      </c>
      <c r="E90" s="22" t="str">
        <f>IFERROR(__xludf.DUMMYFUNCTION("""COMPUTED_VALUE"""),"gelar_belakang")</f>
        <v>gelar_belakang</v>
      </c>
      <c r="F90" s="22" t="str">
        <f>IFERROR(__xludf.DUMMYFUNCTION("""COMPUTED_VALUE"""),"varchar(255)")</f>
        <v>varchar(255)</v>
      </c>
      <c r="G90" s="22"/>
      <c r="H90" s="2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22"/>
      <c r="C91" s="22"/>
      <c r="D91" s="22" t="str">
        <f>IFERROR(__xludf.DUMMYFUNCTION("""COMPUTED_VALUE"""),"d_pegawai ")</f>
        <v>d_pegawai </v>
      </c>
      <c r="E91" s="22" t="str">
        <f>IFERROR(__xludf.DUMMYFUNCTION("""COMPUTED_VALUE"""),"tempat_lahir")</f>
        <v>tempat_lahir</v>
      </c>
      <c r="F91" s="22" t="str">
        <f>IFERROR(__xludf.DUMMYFUNCTION("""COMPUTED_VALUE"""),"varchar(150)")</f>
        <v>varchar(150)</v>
      </c>
      <c r="G91" s="22"/>
      <c r="H91" s="2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22"/>
      <c r="C92" s="22"/>
      <c r="D92" s="22" t="str">
        <f>IFERROR(__xludf.DUMMYFUNCTION("""COMPUTED_VALUE"""),"d_pegawai ")</f>
        <v>d_pegawai </v>
      </c>
      <c r="E92" s="22" t="str">
        <f>IFERROR(__xludf.DUMMYFUNCTION("""COMPUTED_VALUE"""),"tanggal_lahir")</f>
        <v>tanggal_lahir</v>
      </c>
      <c r="F92" s="22" t="str">
        <f>IFERROR(__xludf.DUMMYFUNCTION("""COMPUTED_VALUE"""),"date")</f>
        <v>date</v>
      </c>
      <c r="G92" s="22"/>
      <c r="H92" s="2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22"/>
      <c r="C93" s="22"/>
      <c r="D93" s="22" t="str">
        <f>IFERROR(__xludf.DUMMYFUNCTION("""COMPUTED_VALUE"""),"d_pegawai ")</f>
        <v>d_pegawai </v>
      </c>
      <c r="E93" s="22" t="str">
        <f>IFERROR(__xludf.DUMMYFUNCTION("""COMPUTED_VALUE"""),"alamat")</f>
        <v>alamat</v>
      </c>
      <c r="F93" s="22" t="str">
        <f>IFERROR(__xludf.DUMMYFUNCTION("""COMPUTED_VALUE"""),"varchar(255)")</f>
        <v>varchar(255)</v>
      </c>
      <c r="G93" s="22"/>
      <c r="H93" s="2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22"/>
      <c r="C94" s="22"/>
      <c r="D94" s="22" t="str">
        <f>IFERROR(__xludf.DUMMYFUNCTION("""COMPUTED_VALUE"""),"d_pegawai ")</f>
        <v>d_pegawai </v>
      </c>
      <c r="E94" s="22" t="str">
        <f>IFERROR(__xludf.DUMMYFUNCTION("""COMPUTED_VALUE"""),"no_ktp")</f>
        <v>no_ktp</v>
      </c>
      <c r="F94" s="22" t="str">
        <f>IFERROR(__xludf.DUMMYFUNCTION("""COMPUTED_VALUE"""),"integer")</f>
        <v>integer</v>
      </c>
      <c r="G94" s="22"/>
      <c r="H94" s="2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22"/>
      <c r="C95" s="22"/>
      <c r="D95" s="22" t="str">
        <f>IFERROR(__xludf.DUMMYFUNCTION("""COMPUTED_VALUE"""),"d_pegawai ")</f>
        <v>d_pegawai </v>
      </c>
      <c r="E95" s="22" t="str">
        <f>IFERROR(__xludf.DUMMYFUNCTION("""COMPUTED_VALUE"""),"agama")</f>
        <v>agama</v>
      </c>
      <c r="F95" s="22" t="str">
        <f>IFERROR(__xludf.DUMMYFUNCTION("""COMPUTED_VALUE"""),"varchar(150)")</f>
        <v>varchar(150)</v>
      </c>
      <c r="G95" s="22"/>
      <c r="H95" s="2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22"/>
      <c r="C96" s="22"/>
      <c r="D96" s="22" t="str">
        <f>IFERROR(__xludf.DUMMYFUNCTION("""COMPUTED_VALUE"""),"d_pegawai ")</f>
        <v>d_pegawai </v>
      </c>
      <c r="E96" s="22" t="str">
        <f>IFERROR(__xludf.DUMMYFUNCTION("""COMPUTED_VALUE"""),"tingkat_pendidikan")</f>
        <v>tingkat_pendidikan</v>
      </c>
      <c r="F96" s="22" t="str">
        <f>IFERROR(__xludf.DUMMYFUNCTION("""COMPUTED_VALUE"""),"varchar(150)")</f>
        <v>varchar(150)</v>
      </c>
      <c r="G96" s="22"/>
      <c r="H96" s="2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22"/>
      <c r="C97" s="22"/>
      <c r="D97" s="22" t="str">
        <f>IFERROR(__xludf.DUMMYFUNCTION("""COMPUTED_VALUE"""),"d_pegawai ")</f>
        <v>d_pegawai </v>
      </c>
      <c r="E97" s="22" t="str">
        <f>IFERROR(__xludf.DUMMYFUNCTION("""COMPUTED_VALUE"""),"jurusan_pendidikan")</f>
        <v>jurusan_pendidikan</v>
      </c>
      <c r="F97" s="22" t="str">
        <f>IFERROR(__xludf.DUMMYFUNCTION("""COMPUTED_VALUE"""),"varchar(150)")</f>
        <v>varchar(150)</v>
      </c>
      <c r="G97" s="22"/>
      <c r="H97" s="2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22"/>
      <c r="C98" s="22"/>
      <c r="D98" s="22" t="str">
        <f>IFERROR(__xludf.DUMMYFUNCTION("""COMPUTED_VALUE"""),"d_pegawai ")</f>
        <v>d_pegawai </v>
      </c>
      <c r="E98" s="22" t="str">
        <f>IFERROR(__xludf.DUMMYFUNCTION("""COMPUTED_VALUE"""),"status_pegawai")</f>
        <v>status_pegawai</v>
      </c>
      <c r="F98" s="22" t="str">
        <f>IFERROR(__xludf.DUMMYFUNCTION("""COMPUTED_VALUE"""),"varchar(150)")</f>
        <v>varchar(150)</v>
      </c>
      <c r="G98" s="22"/>
      <c r="H98" s="2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22"/>
      <c r="C99" s="22"/>
      <c r="D99" s="22" t="str">
        <f>IFERROR(__xludf.DUMMYFUNCTION("""COMPUTED_VALUE"""),"d_pegawai ")</f>
        <v>d_pegawai </v>
      </c>
      <c r="E99" s="22" t="str">
        <f>IFERROR(__xludf.DUMMYFUNCTION("""COMPUTED_VALUE"""),"jenis_pegawai")</f>
        <v>jenis_pegawai</v>
      </c>
      <c r="F99" s="22" t="str">
        <f>IFERROR(__xludf.DUMMYFUNCTION("""COMPUTED_VALUE"""),"varchar(150)")</f>
        <v>varchar(150)</v>
      </c>
      <c r="G99" s="22"/>
      <c r="H99" s="2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22"/>
      <c r="C100" s="22"/>
      <c r="D100" s="22" t="str">
        <f>IFERROR(__xludf.DUMMYFUNCTION("""COMPUTED_VALUE"""),"d_pegawai ")</f>
        <v>d_pegawai </v>
      </c>
      <c r="E100" s="22" t="str">
        <f>IFERROR(__xludf.DUMMYFUNCTION("""COMPUTED_VALUE"""),"foto")</f>
        <v>foto</v>
      </c>
      <c r="F100" s="22" t="str">
        <f>IFERROR(__xludf.DUMMYFUNCTION("""COMPUTED_VALUE"""),"varchar(150)")</f>
        <v>varchar(150)</v>
      </c>
      <c r="G100" s="22"/>
      <c r="H100" s="2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22"/>
      <c r="C101" s="22"/>
      <c r="D101" s="22" t="str">
        <f>IFERROR(__xludf.DUMMYFUNCTION("""COMPUTED_VALUE"""),"d_pegawai ")</f>
        <v>d_pegawai </v>
      </c>
      <c r="E101" s="22" t="str">
        <f>IFERROR(__xludf.DUMMYFUNCTION("""COMPUTED_VALUE"""),"tmt_golongan")</f>
        <v>tmt_golongan</v>
      </c>
      <c r="F101" s="22" t="str">
        <f>IFERROR(__xludf.DUMMYFUNCTION("""COMPUTED_VALUE"""),"date")</f>
        <v>date</v>
      </c>
      <c r="G101" s="22"/>
      <c r="H101" s="2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22"/>
      <c r="C102" s="22"/>
      <c r="D102" s="22" t="str">
        <f>IFERROR(__xludf.DUMMYFUNCTION("""COMPUTED_VALUE"""),"d_pegawai ")</f>
        <v>d_pegawai </v>
      </c>
      <c r="E102" s="22" t="str">
        <f>IFERROR(__xludf.DUMMYFUNCTION("""COMPUTED_VALUE"""),"tmt_jabatan")</f>
        <v>tmt_jabatan</v>
      </c>
      <c r="F102" s="22" t="str">
        <f>IFERROR(__xludf.DUMMYFUNCTION("""COMPUTED_VALUE"""),"date")</f>
        <v>date</v>
      </c>
      <c r="G102" s="22"/>
      <c r="H102" s="2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22"/>
      <c r="C103" s="22"/>
      <c r="D103" s="22" t="str">
        <f>IFERROR(__xludf.DUMMYFUNCTION("""COMPUTED_VALUE"""),"d_pegawai ")</f>
        <v>d_pegawai </v>
      </c>
      <c r="E103" s="22" t="str">
        <f>IFERROR(__xludf.DUMMYFUNCTION("""COMPUTED_VALUE"""),"kode_unit_kerja_siasn")</f>
        <v>kode_unit_kerja_siasn</v>
      </c>
      <c r="F103" s="22" t="str">
        <f>IFERROR(__xludf.DUMMYFUNCTION("""COMPUTED_VALUE"""),"varchar(100)")</f>
        <v>varchar(100)</v>
      </c>
      <c r="G103" s="22"/>
      <c r="H103" s="2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22"/>
      <c r="C104" s="22"/>
      <c r="D104" s="22" t="str">
        <f>IFERROR(__xludf.DUMMYFUNCTION("""COMPUTED_VALUE"""),"d_pegawai ")</f>
        <v>d_pegawai </v>
      </c>
      <c r="E104" s="22" t="str">
        <f>IFERROR(__xludf.DUMMYFUNCTION("""COMPUTED_VALUE"""),"created_at")</f>
        <v>created_at</v>
      </c>
      <c r="F104" s="22" t="str">
        <f>IFERROR(__xludf.DUMMYFUNCTION("""COMPUTED_VALUE"""),"timestamp")</f>
        <v>timestamp</v>
      </c>
      <c r="G104" s="22"/>
      <c r="H104" s="2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22"/>
      <c r="C105" s="22"/>
      <c r="D105" s="22" t="str">
        <f>IFERROR(__xludf.DUMMYFUNCTION("""COMPUTED_VALUE"""),"d_pegawai ")</f>
        <v>d_pegawai </v>
      </c>
      <c r="E105" s="22" t="str">
        <f>IFERROR(__xludf.DUMMYFUNCTION("""COMPUTED_VALUE"""),"updated_at")</f>
        <v>updated_at</v>
      </c>
      <c r="F105" s="22" t="str">
        <f>IFERROR(__xludf.DUMMYFUNCTION("""COMPUTED_VALUE"""),"timestamp")</f>
        <v>timestamp</v>
      </c>
      <c r="G105" s="22"/>
      <c r="H105" s="2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6" t="str">
        <f>IFERROR(__xludf.DUMMYFUNCTION("""COMPUTED_VALUE"""),"d_unit_kerja")</f>
        <v>d_unit_kerja</v>
      </c>
      <c r="C106" s="7"/>
      <c r="D106" s="7"/>
      <c r="E106" s="7"/>
      <c r="F106" s="7"/>
      <c r="G106" s="7"/>
      <c r="H106" s="8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11" t="str">
        <f>IFERROR(__xludf.DUMMYFUNCTION("""COMPUTED_VALUE"""),"SUMBER DATA")</f>
        <v>SUMBER DATA</v>
      </c>
      <c r="C107" s="8"/>
      <c r="D107" s="12" t="str">
        <f>IFERROR(__xludf.DUMMYFUNCTION("""COMPUTED_VALUE"""),"TARGET DATA")</f>
        <v>TARGET DATA</v>
      </c>
      <c r="E107" s="7"/>
      <c r="F107" s="8"/>
      <c r="G107" s="13" t="str">
        <f>IFERROR(__xludf.DUMMYFUNCTION("""COMPUTED_VALUE"""),"SAMPEL DATA")</f>
        <v>SAMPEL DATA</v>
      </c>
      <c r="H107" s="13" t="str">
        <f>IFERROR(__xludf.DUMMYFUNCTION("""COMPUTED_VALUE"""),"KETERANGAN")</f>
        <v>KETERANGAN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16" t="str">
        <f>IFERROR(__xludf.DUMMYFUNCTION("""COMPUTED_VALUE"""),"NAMA TABEL")</f>
        <v>NAMA TABEL</v>
      </c>
      <c r="C108" s="16" t="str">
        <f>IFERROR(__xludf.DUMMYFUNCTION("""COMPUTED_VALUE"""),"NAMA KOLOM")</f>
        <v>NAMA KOLOM</v>
      </c>
      <c r="D108" s="16" t="str">
        <f>IFERROR(__xludf.DUMMYFUNCTION("""COMPUTED_VALUE"""),"NAMA TABEL")</f>
        <v>NAMA TABEL</v>
      </c>
      <c r="E108" s="16" t="str">
        <f>IFERROR(__xludf.DUMMYFUNCTION("""COMPUTED_VALUE"""),"NAMA KOLOM")</f>
        <v>NAMA KOLOM</v>
      </c>
      <c r="F108" s="16" t="str">
        <f>IFERROR(__xludf.DUMMYFUNCTION("""COMPUTED_VALUE"""),"TIPE DATA")</f>
        <v>TIPE DATA</v>
      </c>
      <c r="G108" s="17"/>
      <c r="H108" s="17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22"/>
      <c r="C109" s="22"/>
      <c r="D109" s="22" t="str">
        <f>IFERROR(__xludf.DUMMYFUNCTION("""COMPUTED_VALUE"""),"d_unit_kerja ")</f>
        <v>d_unit_kerja </v>
      </c>
      <c r="E109" s="22" t="str">
        <f>IFERROR(__xludf.DUMMYFUNCTION("""COMPUTED_VALUE"""),"unit_kerja_key")</f>
        <v>unit_kerja_key</v>
      </c>
      <c r="F109" s="22" t="str">
        <f>IFERROR(__xludf.DUMMYFUNCTION("""COMPUTED_VALUE"""),"integer")</f>
        <v>integer</v>
      </c>
      <c r="G109" s="22"/>
      <c r="H109" s="16" t="str">
        <f>IFERROR(__xludf.DUMMYFUNCTION("""COMPUTED_VALUE"""),"TABEL SUDAH READY")</f>
        <v>TABEL SUDAH READY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22"/>
      <c r="C110" s="22"/>
      <c r="D110" s="22" t="str">
        <f>IFERROR(__xludf.DUMMYFUNCTION("""COMPUTED_VALUE"""),"d_unit_kerja ")</f>
        <v>d_unit_kerja </v>
      </c>
      <c r="E110" s="22" t="str">
        <f>IFERROR(__xludf.DUMMYFUNCTION("""COMPUTED_VALUE"""),"unit_kerja_kode")</f>
        <v>unit_kerja_kode</v>
      </c>
      <c r="F110" s="22" t="str">
        <f>IFERROR(__xludf.DUMMYFUNCTION("""COMPUTED_VALUE"""),"varchar(150)")</f>
        <v>varchar(150)</v>
      </c>
      <c r="G110" s="22"/>
      <c r="H110" s="2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22"/>
      <c r="C111" s="22"/>
      <c r="D111" s="22" t="str">
        <f>IFERROR(__xludf.DUMMYFUNCTION("""COMPUTED_VALUE"""),"d_unit_kerja ")</f>
        <v>d_unit_kerja </v>
      </c>
      <c r="E111" s="22" t="str">
        <f>IFERROR(__xludf.DUMMYFUNCTION("""COMPUTED_VALUE"""),"unit_kerja_nama")</f>
        <v>unit_kerja_nama</v>
      </c>
      <c r="F111" s="22" t="str">
        <f>IFERROR(__xludf.DUMMYFUNCTION("""COMPUTED_VALUE"""),"varchar(255)")</f>
        <v>varchar(255)</v>
      </c>
      <c r="G111" s="22"/>
      <c r="H111" s="2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22"/>
      <c r="C112" s="22"/>
      <c r="D112" s="22" t="str">
        <f>IFERROR(__xludf.DUMMYFUNCTION("""COMPUTED_VALUE"""),"d_unit_kerja ")</f>
        <v>d_unit_kerja </v>
      </c>
      <c r="E112" s="22" t="str">
        <f>IFERROR(__xludf.DUMMYFUNCTION("""COMPUTED_VALUE"""),"unit_kerja_status")</f>
        <v>unit_kerja_status</v>
      </c>
      <c r="F112" s="22" t="str">
        <f>IFERROR(__xludf.DUMMYFUNCTION("""COMPUTED_VALUE"""),"char (1)")</f>
        <v>char (1)</v>
      </c>
      <c r="G112" s="22"/>
      <c r="H112" s="2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22"/>
      <c r="C113" s="22"/>
      <c r="D113" s="22" t="str">
        <f>IFERROR(__xludf.DUMMYFUNCTION("""COMPUTED_VALUE"""),"d_unit_kerja ")</f>
        <v>d_unit_kerja </v>
      </c>
      <c r="E113" s="22" t="str">
        <f>IFERROR(__xludf.DUMMYFUNCTION("""COMPUTED_VALUE"""),"satker_kode")</f>
        <v>satker_kode</v>
      </c>
      <c r="F113" s="22" t="str">
        <f>IFERROR(__xludf.DUMMYFUNCTION("""COMPUTED_VALUE"""),"varchar(150)")</f>
        <v>varchar(150)</v>
      </c>
      <c r="G113" s="22"/>
      <c r="H113" s="2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22"/>
      <c r="C114" s="22"/>
      <c r="D114" s="22" t="str">
        <f>IFERROR(__xludf.DUMMYFUNCTION("""COMPUTED_VALUE"""),"d_unit_kerja ")</f>
        <v>d_unit_kerja </v>
      </c>
      <c r="E114" s="22" t="str">
        <f>IFERROR(__xludf.DUMMYFUNCTION("""COMPUTED_VALUE"""),"satker_nama")</f>
        <v>satker_nama</v>
      </c>
      <c r="F114" s="22" t="str">
        <f>IFERROR(__xludf.DUMMYFUNCTION("""COMPUTED_VALUE"""),"varchar(255)")</f>
        <v>varchar(255)</v>
      </c>
      <c r="G114" s="22"/>
      <c r="H114" s="2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22"/>
      <c r="C115" s="22"/>
      <c r="D115" s="22" t="str">
        <f>IFERROR(__xludf.DUMMYFUNCTION("""COMPUTED_VALUE"""),"d_unit_kerja ")</f>
        <v>d_unit_kerja </v>
      </c>
      <c r="E115" s="22" t="str">
        <f>IFERROR(__xludf.DUMMYFUNCTION("""COMPUTED_VALUE"""),"satker_status")</f>
        <v>satker_status</v>
      </c>
      <c r="F115" s="22" t="str">
        <f>IFERROR(__xludf.DUMMYFUNCTION("""COMPUTED_VALUE"""),"char (1)")</f>
        <v>char (1)</v>
      </c>
      <c r="G115" s="22"/>
      <c r="H115" s="2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22"/>
      <c r="C116" s="22"/>
      <c r="D116" s="22" t="str">
        <f>IFERROR(__xludf.DUMMYFUNCTION("""COMPUTED_VALUE"""),"d_unit_kerja ")</f>
        <v>d_unit_kerja </v>
      </c>
      <c r="E116" s="22" t="str">
        <f>IFERROR(__xludf.DUMMYFUNCTION("""COMPUTED_VALUE"""),"satker_created_date")</f>
        <v>satker_created_date</v>
      </c>
      <c r="F116" s="22" t="str">
        <f>IFERROR(__xludf.DUMMYFUNCTION("""COMPUTED_VALUE"""),"date")</f>
        <v>date</v>
      </c>
      <c r="G116" s="22"/>
      <c r="H116" s="2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22"/>
      <c r="C117" s="22"/>
      <c r="D117" s="22" t="str">
        <f>IFERROR(__xludf.DUMMYFUNCTION("""COMPUTED_VALUE"""),"d_unit_kerja ")</f>
        <v>d_unit_kerja </v>
      </c>
      <c r="E117" s="22" t="str">
        <f>IFERROR(__xludf.DUMMYFUNCTION("""COMPUTED_VALUE"""),"bidang_kode")</f>
        <v>bidang_kode</v>
      </c>
      <c r="F117" s="22" t="str">
        <f>IFERROR(__xludf.DUMMYFUNCTION("""COMPUTED_VALUE"""),"varchar(150)")</f>
        <v>varchar(150)</v>
      </c>
      <c r="G117" s="22"/>
      <c r="H117" s="2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22"/>
      <c r="C118" s="22"/>
      <c r="D118" s="22" t="str">
        <f>IFERROR(__xludf.DUMMYFUNCTION("""COMPUTED_VALUE"""),"d_unit_kerja ")</f>
        <v>d_unit_kerja </v>
      </c>
      <c r="E118" s="22" t="str">
        <f>IFERROR(__xludf.DUMMYFUNCTION("""COMPUTED_VALUE"""),"bidang_nama")</f>
        <v>bidang_nama</v>
      </c>
      <c r="F118" s="22" t="str">
        <f>IFERROR(__xludf.DUMMYFUNCTION("""COMPUTED_VALUE"""),"varchar(255)")</f>
        <v>varchar(255)</v>
      </c>
      <c r="G118" s="22"/>
      <c r="H118" s="2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22"/>
      <c r="C119" s="22"/>
      <c r="D119" s="22" t="str">
        <f>IFERROR(__xludf.DUMMYFUNCTION("""COMPUTED_VALUE"""),"d_unit_kerja ")</f>
        <v>d_unit_kerja </v>
      </c>
      <c r="E119" s="22" t="str">
        <f>IFERROR(__xludf.DUMMYFUNCTION("""COMPUTED_VALUE"""),"bidang_created_date")</f>
        <v>bidang_created_date</v>
      </c>
      <c r="F119" s="22" t="str">
        <f>IFERROR(__xludf.DUMMYFUNCTION("""COMPUTED_VALUE"""),"date")</f>
        <v>date</v>
      </c>
      <c r="G119" s="22"/>
      <c r="H119" s="2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22"/>
      <c r="C120" s="22"/>
      <c r="D120" s="22" t="str">
        <f>IFERROR(__xludf.DUMMYFUNCTION("""COMPUTED_VALUE"""),"d_unit_kerja ")</f>
        <v>d_unit_kerja </v>
      </c>
      <c r="E120" s="22" t="str">
        <f>IFERROR(__xludf.DUMMYFUNCTION("""COMPUTED_VALUE"""),"sub_bidang_kode")</f>
        <v>sub_bidang_kode</v>
      </c>
      <c r="F120" s="22" t="str">
        <f>IFERROR(__xludf.DUMMYFUNCTION("""COMPUTED_VALUE"""),"varchar(150)")</f>
        <v>varchar(150)</v>
      </c>
      <c r="G120" s="22"/>
      <c r="H120" s="2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22"/>
      <c r="C121" s="22"/>
      <c r="D121" s="22" t="str">
        <f>IFERROR(__xludf.DUMMYFUNCTION("""COMPUTED_VALUE"""),"d_unit_kerja ")</f>
        <v>d_unit_kerja </v>
      </c>
      <c r="E121" s="22" t="str">
        <f>IFERROR(__xludf.DUMMYFUNCTION("""COMPUTED_VALUE"""),"sub_bidang_nama")</f>
        <v>sub_bidang_nama</v>
      </c>
      <c r="F121" s="22" t="str">
        <f>IFERROR(__xludf.DUMMYFUNCTION("""COMPUTED_VALUE"""),"varchar(255)")</f>
        <v>varchar(255)</v>
      </c>
      <c r="G121" s="22"/>
      <c r="H121" s="2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22"/>
      <c r="C122" s="22"/>
      <c r="D122" s="22" t="str">
        <f>IFERROR(__xludf.DUMMYFUNCTION("""COMPUTED_VALUE"""),"d_unit_kerja ")</f>
        <v>d_unit_kerja </v>
      </c>
      <c r="E122" s="22" t="str">
        <f>IFERROR(__xludf.DUMMYFUNCTION("""COMPUTED_VALUE"""),"sub_bidang_status")</f>
        <v>sub_bidang_status</v>
      </c>
      <c r="F122" s="22" t="str">
        <f>IFERROR(__xludf.DUMMYFUNCTION("""COMPUTED_VALUE"""),"char (1)")</f>
        <v>char (1)</v>
      </c>
      <c r="G122" s="22"/>
      <c r="H122" s="2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22"/>
      <c r="C123" s="22"/>
      <c r="D123" s="22" t="str">
        <f>IFERROR(__xludf.DUMMYFUNCTION("""COMPUTED_VALUE"""),"d_unit_kerja ")</f>
        <v>d_unit_kerja </v>
      </c>
      <c r="E123" s="22" t="str">
        <f>IFERROR(__xludf.DUMMYFUNCTION("""COMPUTED_VALUE"""),"sub_bidang_created_date")</f>
        <v>sub_bidang_created_date</v>
      </c>
      <c r="F123" s="22" t="str">
        <f>IFERROR(__xludf.DUMMYFUNCTION("""COMPUTED_VALUE"""),"date")</f>
        <v>date</v>
      </c>
      <c r="G123" s="22"/>
      <c r="H123" s="2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22"/>
      <c r="C124" s="22"/>
      <c r="D124" s="22" t="str">
        <f>IFERROR(__xludf.DUMMYFUNCTION("""COMPUTED_VALUE"""),"d_unit_kerja ")</f>
        <v>d_unit_kerja </v>
      </c>
      <c r="E124" s="22" t="str">
        <f>IFERROR(__xludf.DUMMYFUNCTION("""COMPUTED_VALUE"""),"created_at")</f>
        <v>created_at</v>
      </c>
      <c r="F124" s="22" t="str">
        <f>IFERROR(__xludf.DUMMYFUNCTION("""COMPUTED_VALUE"""),"timestamp")</f>
        <v>timestamp</v>
      </c>
      <c r="G124" s="22"/>
      <c r="H124" s="2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22"/>
      <c r="C125" s="22"/>
      <c r="D125" s="22" t="str">
        <f>IFERROR(__xludf.DUMMYFUNCTION("""COMPUTED_VALUE"""),"d_unit_kerja ")</f>
        <v>d_unit_kerja </v>
      </c>
      <c r="E125" s="22" t="str">
        <f>IFERROR(__xludf.DUMMYFUNCTION("""COMPUTED_VALUE"""),"updated_at")</f>
        <v>updated_at</v>
      </c>
      <c r="F125" s="22" t="str">
        <f>IFERROR(__xludf.DUMMYFUNCTION("""COMPUTED_VALUE"""),"timestamp")</f>
        <v>timestamp</v>
      </c>
      <c r="G125" s="22"/>
      <c r="H125" s="2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27" t="str">
        <f>IFERROR(__xludf.DUMMYFUNCTION("""COMPUTED_VALUE"""),"ff_pengajuan_dokumen")</f>
        <v>ff_pengajuan_dokumen</v>
      </c>
      <c r="C126" s="7"/>
      <c r="D126" s="7"/>
      <c r="E126" s="7"/>
      <c r="F126" s="7"/>
      <c r="G126" s="7"/>
      <c r="H126" s="8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11" t="str">
        <f>IFERROR(__xludf.DUMMYFUNCTION("""COMPUTED_VALUE"""),"SUMBER DATA")</f>
        <v>SUMBER DATA</v>
      </c>
      <c r="C127" s="8"/>
      <c r="D127" s="12" t="str">
        <f>IFERROR(__xludf.DUMMYFUNCTION("""COMPUTED_VALUE"""),"TARGET DATA")</f>
        <v>TARGET DATA</v>
      </c>
      <c r="E127" s="7"/>
      <c r="F127" s="8"/>
      <c r="G127" s="13" t="str">
        <f>IFERROR(__xludf.DUMMYFUNCTION("""COMPUTED_VALUE"""),"SAMPEL DATA")</f>
        <v>SAMPEL DATA</v>
      </c>
      <c r="H127" s="13" t="str">
        <f>IFERROR(__xludf.DUMMYFUNCTION("""COMPUTED_VALUE"""),"KETERANGAN")</f>
        <v>KETERANGAN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16" t="str">
        <f>IFERROR(__xludf.DUMMYFUNCTION("""COMPUTED_VALUE"""),"NAMA TABEL")</f>
        <v>NAMA TABEL</v>
      </c>
      <c r="C128" s="16" t="str">
        <f>IFERROR(__xludf.DUMMYFUNCTION("""COMPUTED_VALUE"""),"NAMA KOLOM")</f>
        <v>NAMA KOLOM</v>
      </c>
      <c r="D128" s="16" t="str">
        <f>IFERROR(__xludf.DUMMYFUNCTION("""COMPUTED_VALUE"""),"NAMA TABEL")</f>
        <v>NAMA TABEL</v>
      </c>
      <c r="E128" s="16" t="str">
        <f>IFERROR(__xludf.DUMMYFUNCTION("""COMPUTED_VALUE"""),"NAMA KOLOM")</f>
        <v>NAMA KOLOM</v>
      </c>
      <c r="F128" s="16" t="str">
        <f>IFERROR(__xludf.DUMMYFUNCTION("""COMPUTED_VALUE"""),"TIPE DATA")</f>
        <v>TIPE DATA</v>
      </c>
      <c r="G128" s="17"/>
      <c r="H128" s="17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22"/>
      <c r="C129" s="22"/>
      <c r="D129" s="22" t="str">
        <f>IFERROR(__xludf.DUMMYFUNCTION("""COMPUTED_VALUE"""),"ff_pengajuan_dokumen")</f>
        <v>ff_pengajuan_dokumen</v>
      </c>
      <c r="E129" s="22" t="str">
        <f>IFERROR(__xludf.DUMMYFUNCTION("""COMPUTED_VALUE"""),"id_fact")</f>
        <v>id_fact</v>
      </c>
      <c r="F129" s="22" t="str">
        <f>IFERROR(__xludf.DUMMYFUNCTION("""COMPUTED_VALUE"""),"integer")</f>
        <v>integer</v>
      </c>
      <c r="G129" s="22"/>
      <c r="H129" s="2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22" t="str">
        <f>IFERROR(__xludf.DUMMYFUNCTION("""COMPUTED_VALUE"""),"dokumen")</f>
        <v>dokumen</v>
      </c>
      <c r="C130" s="22" t="str">
        <f>IFERROR(__xludf.DUMMYFUNCTION("""COMPUTED_VALUE"""),"dokumen_id")</f>
        <v>dokumen_id</v>
      </c>
      <c r="D130" s="22" t="str">
        <f>IFERROR(__xludf.DUMMYFUNCTION("""COMPUTED_VALUE"""),"ff_pengajuan_dokumen")</f>
        <v>ff_pengajuan_dokumen</v>
      </c>
      <c r="E130" s="22" t="str">
        <f>IFERROR(__xludf.DUMMYFUNCTION("""COMPUTED_VALUE"""),"dokumen_id")</f>
        <v>dokumen_id</v>
      </c>
      <c r="F130" s="22" t="str">
        <f>IFERROR(__xludf.DUMMYFUNCTION("""COMPUTED_VALUE"""),"integer")</f>
        <v>integer</v>
      </c>
      <c r="G130" s="22"/>
      <c r="H130" s="2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22" t="str">
        <f>IFERROR(__xludf.DUMMYFUNCTION("""COMPUTED_VALUE"""),"d_subjek")</f>
        <v>d_subjek</v>
      </c>
      <c r="C131" s="22" t="str">
        <f>IFERROR(__xludf.DUMMYFUNCTION("""COMPUTED_VALUE"""),"subjek_key")</f>
        <v>subjek_key</v>
      </c>
      <c r="D131" s="22" t="str">
        <f>IFERROR(__xludf.DUMMYFUNCTION("""COMPUTED_VALUE"""),"ff_pengajuan_dokumen")</f>
        <v>ff_pengajuan_dokumen</v>
      </c>
      <c r="E131" s="22" t="str">
        <f>IFERROR(__xludf.DUMMYFUNCTION("""COMPUTED_VALUE"""),"subjek_key")</f>
        <v>subjek_key</v>
      </c>
      <c r="F131" s="22" t="str">
        <f>IFERROR(__xludf.DUMMYFUNCTION("""COMPUTED_VALUE"""),"integer")</f>
        <v>integer</v>
      </c>
      <c r="G131" s="22"/>
      <c r="H131" s="2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22" t="str">
        <f>IFERROR(__xludf.DUMMYFUNCTION("""COMPUTED_VALUE"""),"d_dokumen")</f>
        <v>d_dokumen</v>
      </c>
      <c r="C132" s="22" t="str">
        <f>IFERROR(__xludf.DUMMYFUNCTION("""COMPUTED_VALUE"""),"dokumen_key")</f>
        <v>dokumen_key</v>
      </c>
      <c r="D132" s="22" t="str">
        <f>IFERROR(__xludf.DUMMYFUNCTION("""COMPUTED_VALUE"""),"ff_pengajuan_dokumen")</f>
        <v>ff_pengajuan_dokumen</v>
      </c>
      <c r="E132" s="22" t="str">
        <f>IFERROR(__xludf.DUMMYFUNCTION("""COMPUTED_VALUE"""),"dokumen_key")</f>
        <v>dokumen_key</v>
      </c>
      <c r="F132" s="22" t="str">
        <f>IFERROR(__xludf.DUMMYFUNCTION("""COMPUTED_VALUE"""),"integer")</f>
        <v>integer</v>
      </c>
      <c r="G132" s="22"/>
      <c r="H132" s="2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22" t="str">
        <f>IFERROR(__xludf.DUMMYFUNCTION("""COMPUTED_VALUE"""),"d_jenis_dokumen")</f>
        <v>d_jenis_dokumen</v>
      </c>
      <c r="C133" s="22" t="str">
        <f>IFERROR(__xludf.DUMMYFUNCTION("""COMPUTED_VALUE"""),"jenis_dokumen_key")</f>
        <v>jenis_dokumen_key</v>
      </c>
      <c r="D133" s="22" t="str">
        <f>IFERROR(__xludf.DUMMYFUNCTION("""COMPUTED_VALUE"""),"ff_pengajuan_dokumen")</f>
        <v>ff_pengajuan_dokumen</v>
      </c>
      <c r="E133" s="22" t="str">
        <f>IFERROR(__xludf.DUMMYFUNCTION("""COMPUTED_VALUE"""),"jenis_dokumen_key")</f>
        <v>jenis_dokumen_key</v>
      </c>
      <c r="F133" s="22" t="str">
        <f>IFERROR(__xludf.DUMMYFUNCTION("""COMPUTED_VALUE"""),"integer")</f>
        <v>integer</v>
      </c>
      <c r="G133" s="22"/>
      <c r="H133" s="2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22" t="str">
        <f>IFERROR(__xludf.DUMMYFUNCTION("""COMPUTED_VALUE"""),"d_perihal_dokumen")</f>
        <v>d_perihal_dokumen</v>
      </c>
      <c r="C134" s="22" t="str">
        <f>IFERROR(__xludf.DUMMYFUNCTION("""COMPUTED_VALUE"""),"perihal_dokumen_key")</f>
        <v>perihal_dokumen_key</v>
      </c>
      <c r="D134" s="22" t="str">
        <f>IFERROR(__xludf.DUMMYFUNCTION("""COMPUTED_VALUE"""),"ff_pengajuan_dokumen")</f>
        <v>ff_pengajuan_dokumen</v>
      </c>
      <c r="E134" s="22" t="str">
        <f>IFERROR(__xludf.DUMMYFUNCTION("""COMPUTED_VALUE"""),"perihal_dokumen_key")</f>
        <v>perihal_dokumen_key</v>
      </c>
      <c r="F134" s="22" t="str">
        <f>IFERROR(__xludf.DUMMYFUNCTION("""COMPUTED_VALUE"""),"integer")</f>
        <v>integer</v>
      </c>
      <c r="G134" s="22"/>
      <c r="H134" s="2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22" t="str">
        <f>IFERROR(__xludf.DUMMYFUNCTION("""COMPUTED_VALUE"""),"dokumen")</f>
        <v>dokumen</v>
      </c>
      <c r="C135" s="22" t="str">
        <f>IFERROR(__xludf.DUMMYFUNCTION("""COMPUTED_VALUE"""),"catatan")</f>
        <v>catatan</v>
      </c>
      <c r="D135" s="22" t="str">
        <f>IFERROR(__xludf.DUMMYFUNCTION("""COMPUTED_VALUE"""),"ff_pengajuan_dokumen")</f>
        <v>ff_pengajuan_dokumen</v>
      </c>
      <c r="E135" s="22" t="str">
        <f>IFERROR(__xludf.DUMMYFUNCTION("""COMPUTED_VALUE"""),"catatan_dokumen")</f>
        <v>catatan_dokumen</v>
      </c>
      <c r="F135" s="22" t="str">
        <f>IFERROR(__xludf.DUMMYFUNCTION("""COMPUTED_VALUE"""),"clob")</f>
        <v>clob</v>
      </c>
      <c r="G135" s="22" t="str">
        <f>IFERROR(__xludf.DUMMYFUNCTION("""COMPUTED_VALUE"""),"&lt;p&gt;Rancangan SK telah diperiksa dan dikoreksi, mohon dilakukan perbaikan sesuai dengan catatan. Mohon melampirkan lampiran yang tersebut dalam diktum KESATU&amp;nbsp;(file digabung dengan SK).&lt;/p&gt;")</f>
        <v>&lt;p&gt;Rancangan SK telah diperiksa dan dikoreksi, mohon dilakukan perbaikan sesuai dengan catatan. Mohon melampirkan lampiran yang tersebut dalam diktum KESATU&amp;nbsp;(file digabung dengan SK).&lt;/p&gt;</v>
      </c>
      <c r="H135" s="2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22" t="str">
        <f>IFERROR(__xludf.DUMMYFUNCTION("""COMPUTED_VALUE"""),"dokumen")</f>
        <v>dokumen</v>
      </c>
      <c r="C136" s="22" t="str">
        <f>IFERROR(__xludf.DUMMYFUNCTION("""COMPUTED_VALUE"""),"ket")</f>
        <v>ket</v>
      </c>
      <c r="D136" s="22" t="str">
        <f>IFERROR(__xludf.DUMMYFUNCTION("""COMPUTED_VALUE"""),"ff_pengajuan_dokumen")</f>
        <v>ff_pengajuan_dokumen</v>
      </c>
      <c r="E136" s="22" t="str">
        <f>IFERROR(__xludf.DUMMYFUNCTION("""COMPUTED_VALUE"""),"keterangan")</f>
        <v>keterangan</v>
      </c>
      <c r="F136" s="22" t="str">
        <f>IFERROR(__xludf.DUMMYFUNCTION("""COMPUTED_VALUE"""),"clob")</f>
        <v>clob</v>
      </c>
      <c r="G136" s="22" t="str">
        <f>IFERROR(__xludf.DUMMYFUNCTION("""COMPUTED_VALUE"""),"DOKUMEN SETELAH REVISI")</f>
        <v>DOKUMEN SETELAH REVISI</v>
      </c>
      <c r="H136" s="2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22" t="str">
        <f>IFERROR(__xludf.DUMMYFUNCTION("""COMPUTED_VALUE"""),"d_status_pengajuan")</f>
        <v>d_status_pengajuan</v>
      </c>
      <c r="C137" s="22" t="str">
        <f>IFERROR(__xludf.DUMMYFUNCTION("""COMPUTED_VALUE"""),"status_key")</f>
        <v>status_key</v>
      </c>
      <c r="D137" s="22" t="str">
        <f>IFERROR(__xludf.DUMMYFUNCTION("""COMPUTED_VALUE"""),"ff_pengajuan_dokumen")</f>
        <v>ff_pengajuan_dokumen</v>
      </c>
      <c r="E137" s="22" t="str">
        <f>IFERROR(__xludf.DUMMYFUNCTION("""COMPUTED_VALUE"""),"status_pengajuan_key")</f>
        <v>status_pengajuan_key</v>
      </c>
      <c r="F137" s="22" t="str">
        <f>IFERROR(__xludf.DUMMYFUNCTION("""COMPUTED_VALUE"""),"integer")</f>
        <v>integer</v>
      </c>
      <c r="G137" s="22"/>
      <c r="H137" s="2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22" t="str">
        <f>IFERROR(__xludf.DUMMYFUNCTION("""COMPUTED_VALUE"""),"d_status_dokumen")</f>
        <v>d_status_dokumen</v>
      </c>
      <c r="C138" s="22" t="str">
        <f>IFERROR(__xludf.DUMMYFUNCTION("""COMPUTED_VALUE"""),"status_key")</f>
        <v>status_key</v>
      </c>
      <c r="D138" s="22" t="str">
        <f>IFERROR(__xludf.DUMMYFUNCTION("""COMPUTED_VALUE"""),"ff_pengajuan_dokumen")</f>
        <v>ff_pengajuan_dokumen</v>
      </c>
      <c r="E138" s="22" t="str">
        <f>IFERROR(__xludf.DUMMYFUNCTION("""COMPUTED_VALUE"""),"status_dokumen_key")</f>
        <v>status_dokumen_key</v>
      </c>
      <c r="F138" s="22" t="str">
        <f>IFERROR(__xludf.DUMMYFUNCTION("""COMPUTED_VALUE"""),"integer")</f>
        <v>integer</v>
      </c>
      <c r="G138" s="22"/>
      <c r="H138" s="2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22" t="str">
        <f>IFERROR(__xludf.DUMMYFUNCTION("""COMPUTED_VALUE"""),"dokumen
d_date")</f>
        <v>dokumen
d_date</v>
      </c>
      <c r="C139" s="22" t="str">
        <f>IFERROR(__xludf.DUMMYFUNCTION("""COMPUTED_VALUE"""),"tgl_upload
date_key")</f>
        <v>tgl_upload
date_key</v>
      </c>
      <c r="D139" s="22" t="str">
        <f>IFERROR(__xludf.DUMMYFUNCTION("""COMPUTED_VALUE"""),"ff_pengajuan_dokumen")</f>
        <v>ff_pengajuan_dokumen</v>
      </c>
      <c r="E139" s="22" t="str">
        <f>IFERROR(__xludf.DUMMYFUNCTION("""COMPUTED_VALUE"""),"tanggal_pengajuan_key")</f>
        <v>tanggal_pengajuan_key</v>
      </c>
      <c r="F139" s="22" t="str">
        <f>IFERROR(__xludf.DUMMYFUNCTION("""COMPUTED_VALUE"""),"integer")</f>
        <v>integer</v>
      </c>
      <c r="G139" s="22"/>
      <c r="H139" s="2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22"/>
      <c r="C140" s="22"/>
      <c r="D140" s="22" t="str">
        <f>IFERROR(__xludf.DUMMYFUNCTION("""COMPUTED_VALUE"""),"ff_pengajuan_dokumen")</f>
        <v>ff_pengajuan_dokumen</v>
      </c>
      <c r="E140" s="22" t="str">
        <f>IFERROR(__xludf.DUMMYFUNCTION("""COMPUTED_VALUE"""),"created_at")</f>
        <v>created_at</v>
      </c>
      <c r="F140" s="22" t="str">
        <f>IFERROR(__xludf.DUMMYFUNCTION("""COMPUTED_VALUE"""),"timestamp")</f>
        <v>timestamp</v>
      </c>
      <c r="G140" s="22"/>
      <c r="H140" s="2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22"/>
      <c r="C141" s="22"/>
      <c r="D141" s="22" t="str">
        <f>IFERROR(__xludf.DUMMYFUNCTION("""COMPUTED_VALUE"""),"ff_pengajuan_dokumen")</f>
        <v>ff_pengajuan_dokumen</v>
      </c>
      <c r="E141" s="22" t="str">
        <f>IFERROR(__xludf.DUMMYFUNCTION("""COMPUTED_VALUE"""),"updated_at")</f>
        <v>updated_at</v>
      </c>
      <c r="F141" s="22" t="str">
        <f>IFERROR(__xludf.DUMMYFUNCTION("""COMPUTED_VALUE"""),"timestamp")</f>
        <v>timestamp</v>
      </c>
      <c r="G141" s="22"/>
      <c r="H141" s="2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27" t="str">
        <f>IFERROR(__xludf.DUMMYFUNCTION("""COMPUTED_VALUE"""),"fa_dashboard")</f>
        <v>fa_dashboard</v>
      </c>
      <c r="C142" s="7"/>
      <c r="D142" s="7"/>
      <c r="E142" s="7"/>
      <c r="F142" s="7"/>
      <c r="G142" s="7"/>
      <c r="H142" s="8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11" t="str">
        <f>IFERROR(__xludf.DUMMYFUNCTION("""COMPUTED_VALUE"""),"SUMBER DATA")</f>
        <v>SUMBER DATA</v>
      </c>
      <c r="C143" s="8"/>
      <c r="D143" s="12" t="str">
        <f>IFERROR(__xludf.DUMMYFUNCTION("""COMPUTED_VALUE"""),"TARGET DATA")</f>
        <v>TARGET DATA</v>
      </c>
      <c r="E143" s="7"/>
      <c r="F143" s="8"/>
      <c r="G143" s="13" t="str">
        <f>IFERROR(__xludf.DUMMYFUNCTION("""COMPUTED_VALUE"""),"SAMPEL DATA")</f>
        <v>SAMPEL DATA</v>
      </c>
      <c r="H143" s="13" t="str">
        <f>IFERROR(__xludf.DUMMYFUNCTION("""COMPUTED_VALUE"""),"KETERANGAN")</f>
        <v>KETERANGAN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16" t="str">
        <f>IFERROR(__xludf.DUMMYFUNCTION("""COMPUTED_VALUE"""),"NAMA TABEL")</f>
        <v>NAMA TABEL</v>
      </c>
      <c r="C144" s="16" t="str">
        <f>IFERROR(__xludf.DUMMYFUNCTION("""COMPUTED_VALUE"""),"NAMA KOLOM")</f>
        <v>NAMA KOLOM</v>
      </c>
      <c r="D144" s="16" t="str">
        <f>IFERROR(__xludf.DUMMYFUNCTION("""COMPUTED_VALUE"""),"NAMA TABEL")</f>
        <v>NAMA TABEL</v>
      </c>
      <c r="E144" s="16" t="str">
        <f>IFERROR(__xludf.DUMMYFUNCTION("""COMPUTED_VALUE"""),"NAMA KOLOM")</f>
        <v>NAMA KOLOM</v>
      </c>
      <c r="F144" s="16" t="str">
        <f>IFERROR(__xludf.DUMMYFUNCTION("""COMPUTED_VALUE"""),"TIPE DATA")</f>
        <v>TIPE DATA</v>
      </c>
      <c r="G144" s="17"/>
      <c r="H144" s="17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22"/>
      <c r="C145" s="22"/>
      <c r="D145" s="22" t="str">
        <f>IFERROR(__xludf.DUMMYFUNCTION("""COMPUTED_VALUE"""),"fa_dashboard")</f>
        <v>fa_dashboard</v>
      </c>
      <c r="E145" s="22" t="str">
        <f>IFERROR(__xludf.DUMMYFUNCTION("""COMPUTED_VALUE"""),"id_fact")</f>
        <v>id_fact</v>
      </c>
      <c r="F145" s="22" t="str">
        <f>IFERROR(__xludf.DUMMYFUNCTION("""COMPUTED_VALUE"""),"integer")</f>
        <v>integer</v>
      </c>
      <c r="G145" s="22"/>
      <c r="H145" s="2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22" t="str">
        <f>IFERROR(__xludf.DUMMYFUNCTION("""COMPUTED_VALUE"""),"d_status_pengajuan")</f>
        <v>d_status_pengajuan</v>
      </c>
      <c r="C146" s="22" t="str">
        <f>IFERROR(__xludf.DUMMYFUNCTION("""COMPUTED_VALUE"""),"status_key")</f>
        <v>status_key</v>
      </c>
      <c r="D146" s="22" t="str">
        <f>IFERROR(__xludf.DUMMYFUNCTION("""COMPUTED_VALUE"""),"fa_dashboard")</f>
        <v>fa_dashboard</v>
      </c>
      <c r="E146" s="22" t="str">
        <f>IFERROR(__xludf.DUMMYFUNCTION("""COMPUTED_VALUE"""),"status_pengajuan_key")</f>
        <v>status_pengajuan_key</v>
      </c>
      <c r="F146" s="22" t="str">
        <f>IFERROR(__xludf.DUMMYFUNCTION("""COMPUTED_VALUE"""),"integer")</f>
        <v>integer</v>
      </c>
      <c r="G146" s="22"/>
      <c r="H146" s="2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22" t="str">
        <f>IFERROR(__xludf.DUMMYFUNCTION("""COMPUTED_VALUE"""),"d_jenis_dokumen")</f>
        <v>d_jenis_dokumen</v>
      </c>
      <c r="C147" s="22" t="str">
        <f>IFERROR(__xludf.DUMMYFUNCTION("""COMPUTED_VALUE"""),"jenis_dokumen_key")</f>
        <v>jenis_dokumen_key</v>
      </c>
      <c r="D147" s="22" t="str">
        <f>IFERROR(__xludf.DUMMYFUNCTION("""COMPUTED_VALUE"""),"fa_dashboard")</f>
        <v>fa_dashboard</v>
      </c>
      <c r="E147" s="22" t="str">
        <f>IFERROR(__xludf.DUMMYFUNCTION("""COMPUTED_VALUE"""),"jenis_dokumen_key")</f>
        <v>jenis_dokumen_key</v>
      </c>
      <c r="F147" s="22" t="str">
        <f>IFERROR(__xludf.DUMMYFUNCTION("""COMPUTED_VALUE"""),"integer")</f>
        <v>integer</v>
      </c>
      <c r="G147" s="22"/>
      <c r="H147" s="2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22" t="str">
        <f>IFERROR(__xludf.DUMMYFUNCTION("""COMPUTED_VALUE"""),"dokumen
d_date")</f>
        <v>dokumen
d_date</v>
      </c>
      <c r="C148" s="22" t="str">
        <f>IFERROR(__xludf.DUMMYFUNCTION("""COMPUTED_VALUE"""),"tgl_upload
date_key")</f>
        <v>tgl_upload
date_key</v>
      </c>
      <c r="D148" s="22" t="str">
        <f>IFERROR(__xludf.DUMMYFUNCTION("""COMPUTED_VALUE"""),"fa_dashboard")</f>
        <v>fa_dashboard</v>
      </c>
      <c r="E148" s="22" t="str">
        <f>IFERROR(__xludf.DUMMYFUNCTION("""COMPUTED_VALUE"""),"tanggal_pengajuan_key")</f>
        <v>tanggal_pengajuan_key</v>
      </c>
      <c r="F148" s="22" t="str">
        <f>IFERROR(__xludf.DUMMYFUNCTION("""COMPUTED_VALUE"""),"integer")</f>
        <v>integer</v>
      </c>
      <c r="G148" s="22"/>
      <c r="H148" s="2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22" t="str">
        <f>IFERROR(__xludf.DUMMYFUNCTION("""COMPUTED_VALUE"""),"ff_pengajuan_dokumen")</f>
        <v>ff_pengajuan_dokumen</v>
      </c>
      <c r="C149" s="22"/>
      <c r="D149" s="22" t="str">
        <f>IFERROR(__xludf.DUMMYFUNCTION("""COMPUTED_VALUE"""),"fa_dashboard")</f>
        <v>fa_dashboard</v>
      </c>
      <c r="E149" s="22" t="str">
        <f>IFERROR(__xludf.DUMMYFUNCTION("""COMPUTED_VALUE"""),"total_dokumen_pengajuan")</f>
        <v>total_dokumen_pengajuan</v>
      </c>
      <c r="F149" s="22" t="str">
        <f>IFERROR(__xludf.DUMMYFUNCTION("""COMPUTED_VALUE"""),"integer")</f>
        <v>integer</v>
      </c>
      <c r="G149" s="22"/>
      <c r="H149" s="2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22"/>
      <c r="C150" s="22"/>
      <c r="D150" s="22" t="str">
        <f>IFERROR(__xludf.DUMMYFUNCTION("""COMPUTED_VALUE"""),"fa_dashboard")</f>
        <v>fa_dashboard</v>
      </c>
      <c r="E150" s="22" t="str">
        <f>IFERROR(__xludf.DUMMYFUNCTION("""COMPUTED_VALUE"""),"created_at")</f>
        <v>created_at</v>
      </c>
      <c r="F150" s="22" t="str">
        <f>IFERROR(__xludf.DUMMYFUNCTION("""COMPUTED_VALUE"""),"timestamp")</f>
        <v>timestamp</v>
      </c>
      <c r="G150" s="22"/>
      <c r="H150" s="2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22"/>
      <c r="C151" s="22"/>
      <c r="D151" s="22" t="str">
        <f>IFERROR(__xludf.DUMMYFUNCTION("""COMPUTED_VALUE"""),"fa_dashboard")</f>
        <v>fa_dashboard</v>
      </c>
      <c r="E151" s="22" t="str">
        <f>IFERROR(__xludf.DUMMYFUNCTION("""COMPUTED_VALUE"""),"updated_at")</f>
        <v>updated_at</v>
      </c>
      <c r="F151" s="22" t="str">
        <f>IFERROR(__xludf.DUMMYFUNCTION("""COMPUTED_VALUE"""),"timestamp")</f>
        <v>timestamp</v>
      </c>
      <c r="G151" s="22"/>
      <c r="H151" s="2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28" t="str">
        <f>IFERROR(__xludf.DUMMYFUNCTION("""COMPUTED_VALUE"""),"ft_pegawai")</f>
        <v>ft_pegawai</v>
      </c>
      <c r="C152" s="7"/>
      <c r="D152" s="7"/>
      <c r="E152" s="7"/>
      <c r="F152" s="7"/>
      <c r="G152" s="7"/>
      <c r="H152" s="8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11" t="str">
        <f>IFERROR(__xludf.DUMMYFUNCTION("""COMPUTED_VALUE"""),"SUMBER DATA")</f>
        <v>SUMBER DATA</v>
      </c>
      <c r="C153" s="8"/>
      <c r="D153" s="12" t="str">
        <f>IFERROR(__xludf.DUMMYFUNCTION("""COMPUTED_VALUE"""),"TARGET DATA")</f>
        <v>TARGET DATA</v>
      </c>
      <c r="E153" s="7"/>
      <c r="F153" s="8"/>
      <c r="G153" s="13" t="str">
        <f>IFERROR(__xludf.DUMMYFUNCTION("""COMPUTED_VALUE"""),"SAMPEL DATA")</f>
        <v>SAMPEL DATA</v>
      </c>
      <c r="H153" s="13" t="str">
        <f>IFERROR(__xludf.DUMMYFUNCTION("""COMPUTED_VALUE"""),"KETERANGAN")</f>
        <v>KETERANGAN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16" t="str">
        <f>IFERROR(__xludf.DUMMYFUNCTION("""COMPUTED_VALUE"""),"NAMA TABEL")</f>
        <v>NAMA TABEL</v>
      </c>
      <c r="C154" s="16" t="str">
        <f>IFERROR(__xludf.DUMMYFUNCTION("""COMPUTED_VALUE"""),"NAMA KOLOM")</f>
        <v>NAMA KOLOM</v>
      </c>
      <c r="D154" s="16" t="str">
        <f>IFERROR(__xludf.DUMMYFUNCTION("""COMPUTED_VALUE"""),"NAMA TABEL")</f>
        <v>NAMA TABEL</v>
      </c>
      <c r="E154" s="16" t="str">
        <f>IFERROR(__xludf.DUMMYFUNCTION("""COMPUTED_VALUE"""),"NAMA KOLOM")</f>
        <v>NAMA KOLOM</v>
      </c>
      <c r="F154" s="16" t="str">
        <f>IFERROR(__xludf.DUMMYFUNCTION("""COMPUTED_VALUE"""),"TIPE DATA")</f>
        <v>TIPE DATA</v>
      </c>
      <c r="G154" s="17"/>
      <c r="H154" s="17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29"/>
      <c r="C155" s="29"/>
      <c r="D155" s="29" t="str">
        <f>IFERROR(__xludf.DUMMYFUNCTION("""COMPUTED_VALUE"""),"ft_pegawai")</f>
        <v>ft_pegawai</v>
      </c>
      <c r="E155" s="29" t="str">
        <f>IFERROR(__xludf.DUMMYFUNCTION("""COMPUTED_VALUE"""),"fact_id")</f>
        <v>fact_id</v>
      </c>
      <c r="F155" s="29" t="str">
        <f>IFERROR(__xludf.DUMMYFUNCTION("""COMPUTED_VALUE"""),"integer")</f>
        <v>integer</v>
      </c>
      <c r="G155" s="29"/>
      <c r="H155" s="16" t="str">
        <f>IFERROR(__xludf.DUMMYFUNCTION("""COMPUTED_VALUE"""),"TABEL SUDAH READY")</f>
        <v>TABEL SUDAH READY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29" t="str">
        <f>IFERROR(__xludf.DUMMYFUNCTION("""COMPUTED_VALUE"""),"d_unit_kerja")</f>
        <v>d_unit_kerja</v>
      </c>
      <c r="C156" s="29" t="str">
        <f>IFERROR(__xludf.DUMMYFUNCTION("""COMPUTED_VALUE"""),"unit_kerja_key")</f>
        <v>unit_kerja_key</v>
      </c>
      <c r="D156" s="29" t="str">
        <f>IFERROR(__xludf.DUMMYFUNCTION("""COMPUTED_VALUE"""),"ft_pegawai")</f>
        <v>ft_pegawai</v>
      </c>
      <c r="E156" s="29" t="str">
        <f>IFERROR(__xludf.DUMMYFUNCTION("""COMPUTED_VALUE"""),"unit_kerja_key")</f>
        <v>unit_kerja_key</v>
      </c>
      <c r="F156" s="29" t="str">
        <f>IFERROR(__xludf.DUMMYFUNCTION("""COMPUTED_VALUE"""),"integer")</f>
        <v>integer</v>
      </c>
      <c r="G156" s="29"/>
      <c r="H156" s="29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29" t="str">
        <f>IFERROR(__xludf.DUMMYFUNCTION("""COMPUTED_VALUE"""),"d_pegawai")</f>
        <v>d_pegawai</v>
      </c>
      <c r="C157" s="29" t="str">
        <f>IFERROR(__xludf.DUMMYFUNCTION("""COMPUTED_VALUE"""),"pegawai_key")</f>
        <v>pegawai_key</v>
      </c>
      <c r="D157" s="29" t="str">
        <f>IFERROR(__xludf.DUMMYFUNCTION("""COMPUTED_VALUE"""),"ft_pegawai")</f>
        <v>ft_pegawai</v>
      </c>
      <c r="E157" s="29" t="str">
        <f>IFERROR(__xludf.DUMMYFUNCTION("""COMPUTED_VALUE"""),"pegawai_key")</f>
        <v>pegawai_key</v>
      </c>
      <c r="F157" s="29" t="str">
        <f>IFERROR(__xludf.DUMMYFUNCTION("""COMPUTED_VALUE"""),"integer")</f>
        <v>integer</v>
      </c>
      <c r="G157" s="29"/>
      <c r="H157" s="29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29"/>
      <c r="C158" s="29"/>
      <c r="D158" s="29" t="str">
        <f>IFERROR(__xludf.DUMMYFUNCTION("""COMPUTED_VALUE"""),"ft_pegawai")</f>
        <v>ft_pegawai</v>
      </c>
      <c r="E158" s="29" t="str">
        <f>IFERROR(__xludf.DUMMYFUNCTION("""COMPUTED_VALUE"""),"created_at")</f>
        <v>created_at</v>
      </c>
      <c r="F158" s="29" t="str">
        <f>IFERROR(__xludf.DUMMYFUNCTION("""COMPUTED_VALUE"""),"timestamp")</f>
        <v>timestamp</v>
      </c>
      <c r="G158" s="29"/>
      <c r="H158" s="29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29"/>
      <c r="C159" s="29"/>
      <c r="D159" s="29" t="str">
        <f>IFERROR(__xludf.DUMMYFUNCTION("""COMPUTED_VALUE"""),"ft_pegawai")</f>
        <v>ft_pegawai</v>
      </c>
      <c r="E159" s="29" t="str">
        <f>IFERROR(__xludf.DUMMYFUNCTION("""COMPUTED_VALUE"""),"updated_at")</f>
        <v>updated_at</v>
      </c>
      <c r="F159" s="29" t="str">
        <f>IFERROR(__xludf.DUMMYFUNCTION("""COMPUTED_VALUE"""),"timestamp")</f>
        <v>timestamp</v>
      </c>
      <c r="G159" s="29"/>
      <c r="H159" s="29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28" t="str">
        <f>IFERROR(__xludf.DUMMYFUNCTION("""COMPUTED_VALUE"""),"ft_masyarakat")</f>
        <v>ft_masyarakat</v>
      </c>
      <c r="C160" s="7"/>
      <c r="D160" s="7"/>
      <c r="E160" s="7"/>
      <c r="F160" s="7"/>
      <c r="G160" s="7"/>
      <c r="H160" s="8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11" t="str">
        <f>IFERROR(__xludf.DUMMYFUNCTION("""COMPUTED_VALUE"""),"SUMBER DATA")</f>
        <v>SUMBER DATA</v>
      </c>
      <c r="C161" s="8"/>
      <c r="D161" s="12" t="str">
        <f>IFERROR(__xludf.DUMMYFUNCTION("""COMPUTED_VALUE"""),"TARGET DATA")</f>
        <v>TARGET DATA</v>
      </c>
      <c r="E161" s="7"/>
      <c r="F161" s="8"/>
      <c r="G161" s="13" t="str">
        <f>IFERROR(__xludf.DUMMYFUNCTION("""COMPUTED_VALUE"""),"SAMPEL DATA")</f>
        <v>SAMPEL DATA</v>
      </c>
      <c r="H161" s="13" t="str">
        <f>IFERROR(__xludf.DUMMYFUNCTION("""COMPUTED_VALUE"""),"KETERANGAN")</f>
        <v>KETERANGAN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16" t="str">
        <f>IFERROR(__xludf.DUMMYFUNCTION("""COMPUTED_VALUE"""),"NAMA TABEL")</f>
        <v>NAMA TABEL</v>
      </c>
      <c r="C162" s="16" t="str">
        <f>IFERROR(__xludf.DUMMYFUNCTION("""COMPUTED_VALUE"""),"NAMA KOLOM")</f>
        <v>NAMA KOLOM</v>
      </c>
      <c r="D162" s="16" t="str">
        <f>IFERROR(__xludf.DUMMYFUNCTION("""COMPUTED_VALUE"""),"NAMA TABEL")</f>
        <v>NAMA TABEL</v>
      </c>
      <c r="E162" s="16" t="str">
        <f>IFERROR(__xludf.DUMMYFUNCTION("""COMPUTED_VALUE"""),"NAMA KOLOM")</f>
        <v>NAMA KOLOM</v>
      </c>
      <c r="F162" s="16" t="str">
        <f>IFERROR(__xludf.DUMMYFUNCTION("""COMPUTED_VALUE"""),"TIPE DATA")</f>
        <v>TIPE DATA</v>
      </c>
      <c r="G162" s="17"/>
      <c r="H162" s="17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29"/>
      <c r="C163" s="29"/>
      <c r="D163" s="29" t="str">
        <f>IFERROR(__xludf.DUMMYFUNCTION("""COMPUTED_VALUE"""),"ft_masyarakat")</f>
        <v>ft_masyarakat</v>
      </c>
      <c r="E163" s="29" t="str">
        <f>IFERROR(__xludf.DUMMYFUNCTION("""COMPUTED_VALUE"""),"id_fact")</f>
        <v>id_fact</v>
      </c>
      <c r="F163" s="29" t="str">
        <f>IFERROR(__xludf.DUMMYFUNCTION("""COMPUTED_VALUE"""),"integer")</f>
        <v>integer</v>
      </c>
      <c r="G163" s="29"/>
      <c r="H163" s="29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29" t="str">
        <f>IFERROR(__xludf.DUMMYFUNCTION("""COMPUTED_VALUE"""),"d_desa")</f>
        <v>d_desa</v>
      </c>
      <c r="C164" s="29" t="str">
        <f>IFERROR(__xludf.DUMMYFUNCTION("""COMPUTED_VALUE"""),"desa_key")</f>
        <v>desa_key</v>
      </c>
      <c r="D164" s="29" t="str">
        <f>IFERROR(__xludf.DUMMYFUNCTION("""COMPUTED_VALUE"""),"ft_masyarakat")</f>
        <v>ft_masyarakat</v>
      </c>
      <c r="E164" s="29" t="str">
        <f>IFERROR(__xludf.DUMMYFUNCTION("""COMPUTED_VALUE"""),"desa_key")</f>
        <v>desa_key</v>
      </c>
      <c r="F164" s="29" t="str">
        <f>IFERROR(__xludf.DUMMYFUNCTION("""COMPUTED_VALUE"""),"integer")</f>
        <v>integer</v>
      </c>
      <c r="G164" s="29"/>
      <c r="H164" s="29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29" t="str">
        <f>IFERROR(__xludf.DUMMYFUNCTION("""COMPUTED_VALUE"""),"d_masyarakat")</f>
        <v>d_masyarakat</v>
      </c>
      <c r="C165" s="29" t="str">
        <f>IFERROR(__xludf.DUMMYFUNCTION("""COMPUTED_VALUE"""),"masyarakat_key")</f>
        <v>masyarakat_key</v>
      </c>
      <c r="D165" s="29" t="str">
        <f>IFERROR(__xludf.DUMMYFUNCTION("""COMPUTED_VALUE"""),"ft_masyarakat")</f>
        <v>ft_masyarakat</v>
      </c>
      <c r="E165" s="29" t="str">
        <f>IFERROR(__xludf.DUMMYFUNCTION("""COMPUTED_VALUE"""),"masyarakat_key")</f>
        <v>masyarakat_key</v>
      </c>
      <c r="F165" s="29" t="str">
        <f>IFERROR(__xludf.DUMMYFUNCTION("""COMPUTED_VALUE"""),"integer")</f>
        <v>integer</v>
      </c>
      <c r="G165" s="29"/>
      <c r="H165" s="29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29"/>
      <c r="C166" s="29"/>
      <c r="D166" s="29" t="str">
        <f>IFERROR(__xludf.DUMMYFUNCTION("""COMPUTED_VALUE"""),"ft_masyarakat")</f>
        <v>ft_masyarakat</v>
      </c>
      <c r="E166" s="29" t="str">
        <f>IFERROR(__xludf.DUMMYFUNCTION("""COMPUTED_VALUE"""),"created_at")</f>
        <v>created_at</v>
      </c>
      <c r="F166" s="29" t="str">
        <f>IFERROR(__xludf.DUMMYFUNCTION("""COMPUTED_VALUE"""),"timestamp")</f>
        <v>timestamp</v>
      </c>
      <c r="G166" s="29"/>
      <c r="H166" s="29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29"/>
      <c r="C167" s="29"/>
      <c r="D167" s="29" t="str">
        <f>IFERROR(__xludf.DUMMYFUNCTION("""COMPUTED_VALUE"""),"ft_masyarakat")</f>
        <v>ft_masyarakat</v>
      </c>
      <c r="E167" s="29" t="str">
        <f>IFERROR(__xludf.DUMMYFUNCTION("""COMPUTED_VALUE"""),"updated_at")</f>
        <v>updated_at</v>
      </c>
      <c r="F167" s="29" t="str">
        <f>IFERROR(__xludf.DUMMYFUNCTION("""COMPUTED_VALUE"""),"timestamp")</f>
        <v>timestamp</v>
      </c>
      <c r="G167" s="29"/>
      <c r="H167" s="29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</sheetData>
  <mergeCells count="80">
    <mergeCell ref="D52:F52"/>
    <mergeCell ref="G52:G53"/>
    <mergeCell ref="H52:H53"/>
    <mergeCell ref="B63:H63"/>
    <mergeCell ref="B64:C64"/>
    <mergeCell ref="G64:G65"/>
    <mergeCell ref="H64:H65"/>
    <mergeCell ref="D64:F64"/>
    <mergeCell ref="B74:H74"/>
    <mergeCell ref="B75:C75"/>
    <mergeCell ref="D75:F75"/>
    <mergeCell ref="G75:G76"/>
    <mergeCell ref="H75:H76"/>
    <mergeCell ref="B82:H82"/>
    <mergeCell ref="G83:G84"/>
    <mergeCell ref="H83:H84"/>
    <mergeCell ref="B106:H106"/>
    <mergeCell ref="B107:C107"/>
    <mergeCell ref="D107:F107"/>
    <mergeCell ref="G107:G108"/>
    <mergeCell ref="H107:H108"/>
    <mergeCell ref="B126:H126"/>
    <mergeCell ref="B127:C127"/>
    <mergeCell ref="D127:F127"/>
    <mergeCell ref="G127:G128"/>
    <mergeCell ref="H127:H128"/>
    <mergeCell ref="B142:H142"/>
    <mergeCell ref="B143:C143"/>
    <mergeCell ref="D153:F153"/>
    <mergeCell ref="B160:H160"/>
    <mergeCell ref="B161:C161"/>
    <mergeCell ref="D161:F161"/>
    <mergeCell ref="G161:G162"/>
    <mergeCell ref="H161:H162"/>
    <mergeCell ref="D143:F143"/>
    <mergeCell ref="G143:G144"/>
    <mergeCell ref="H143:H144"/>
    <mergeCell ref="B152:H152"/>
    <mergeCell ref="B153:C153"/>
    <mergeCell ref="G153:G154"/>
    <mergeCell ref="H153:H154"/>
    <mergeCell ref="C1:G1"/>
    <mergeCell ref="K1:Z1"/>
    <mergeCell ref="B2:H2"/>
    <mergeCell ref="P2:Z2"/>
    <mergeCell ref="B3:C3"/>
    <mergeCell ref="D3:F3"/>
    <mergeCell ref="G3:G4"/>
    <mergeCell ref="H3:H4"/>
    <mergeCell ref="K5:K8"/>
    <mergeCell ref="K9:M9"/>
    <mergeCell ref="B12:H12"/>
    <mergeCell ref="B13:C13"/>
    <mergeCell ref="G13:G14"/>
    <mergeCell ref="H13:H14"/>
    <mergeCell ref="D13:F13"/>
    <mergeCell ref="B20:H20"/>
    <mergeCell ref="B21:C21"/>
    <mergeCell ref="D21:F21"/>
    <mergeCell ref="G21:G22"/>
    <mergeCell ref="H21:H22"/>
    <mergeCell ref="B27:H27"/>
    <mergeCell ref="G36:G37"/>
    <mergeCell ref="H36:H37"/>
    <mergeCell ref="B28:C28"/>
    <mergeCell ref="D28:F28"/>
    <mergeCell ref="G28:G29"/>
    <mergeCell ref="H28:H29"/>
    <mergeCell ref="B35:H35"/>
    <mergeCell ref="B36:C36"/>
    <mergeCell ref="D36:F36"/>
    <mergeCell ref="B43:H43"/>
    <mergeCell ref="B44:C44"/>
    <mergeCell ref="D44:F44"/>
    <mergeCell ref="G44:G45"/>
    <mergeCell ref="H44:H45"/>
    <mergeCell ref="B51:H51"/>
    <mergeCell ref="B52:C52"/>
    <mergeCell ref="B83:C83"/>
    <mergeCell ref="D83:F83"/>
  </mergeCells>
  <drawing r:id="rId1"/>
</worksheet>
</file>